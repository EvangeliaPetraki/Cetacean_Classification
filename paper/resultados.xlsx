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Φύλλο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<sst xmlns="http://schemas.openxmlformats.org/spreadsheetml/2006/main" count="447" uniqueCount="25">
  <si>
    <t xml:space="preserve">Feature</t>
  </si>
  <si>
    <t xml:space="preserve">Model</t>
  </si>
  <si>
    <t xml:space="preserve">Epochs</t>
  </si>
  <si>
    <t xml:space="preserve">Seed</t>
  </si>
  <si>
    <t xml:space="preserve">Test_Acc</t>
  </si>
  <si>
    <t xml:space="preserve">Test_F1</t>
  </si>
  <si>
    <t xml:space="preserve">MEL</t>
  </si>
  <si>
    <t xml:space="preserve">resnet</t>
  </si>
  <si>
    <t xml:space="preserve">AVG</t>
  </si>
  <si>
    <t xml:space="preserve">tinycnn</t>
  </si>
  <si>
    <t xml:space="preserve">mobilenetv3</t>
  </si>
  <si>
    <t xml:space="preserve">efficientnet_b0</t>
  </si>
  <si>
    <t xml:space="preserve">efficientnet_b2</t>
  </si>
  <si>
    <t xml:space="preserve">efficientnet_b4</t>
  </si>
  <si>
    <t xml:space="preserve">efficientnet_v2_s</t>
  </si>
  <si>
    <t xml:space="preserve">efficientnet_v2_m</t>
  </si>
  <si>
    <t xml:space="preserve">WST1</t>
  </si>
  <si>
    <t xml:space="preserve">Best Resnet for MEL</t>
  </si>
  <si>
    <t xml:space="preserve">Best Resnet for WST1</t>
  </si>
  <si>
    <t xml:space="preserve">Best tinyCNN for MEL </t>
  </si>
  <si>
    <t xml:space="preserve">Best tinyCNN for WST1</t>
  </si>
  <si>
    <t xml:space="preserve">Best MobileNet for MEL</t>
  </si>
  <si>
    <t xml:space="preserve">Best MobileNet for WST1</t>
  </si>
  <si>
    <t xml:space="preserve">Best EfficientNet for MEL</t>
  </si>
  <si>
    <t xml:space="preserve">Best EfficientNet for WST1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</si>
</sst>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1"/>
      <name val="Liberation Mono;Courier New;DejaVu Sans Mono;Lucida Sans Typewriter"/>
      <family val="3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94" colorId="64" zoomScale="85" zoomScaleNormal="85" zoomScalePageLayoutView="100" workbookViewId="0">
      <selection pane="topLeft" activeCell="C226" activeCellId="0" sqref="C226"/>
    </sheetView>
  </sheetViews>
  <sheetFormatPr defaultColWidth="8.54296875" defaultRowHeight="15" zeroHeight="false" outlineLevelRow="0" outlineLevelCol="0"/>
  <cols>
    <col collapsed="false" customWidth="true" hidden="false" outlineLevel="0" max="2" min="1" style="1" width="24.28"/>
    <col collapsed="false" customWidth="true" hidden="false" outlineLevel="0" max="3" min="3" style="1" width="20.7"/>
    <col collapsed="false" customWidth="true" hidden="false" outlineLevel="0" max="4" min="4" style="1" width="22.23"/>
    <col collapsed="false" customWidth="true" hidden="false" outlineLevel="0" max="5" min="5" style="1" width="21.9"/>
    <col collapsed="false" customWidth="true" hidden="false" outlineLevel="0" max="6" min="6" style="1" width="25.26"/>
    <col collapsed="false" customWidth="false" hidden="false" outlineLevel="0" max="16384" min="7" style="1" width="8.54"/>
  </cols>
  <sheetData>
    <row r="1" s="2" customFormat="tru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="2" customFormat="true" ht="15" hidden="false" customHeight="false" outlineLevel="0" collapsed="false">
      <c r="B2" s="3"/>
      <c r="C2" s="3"/>
      <c r="D2" s="3"/>
      <c r="E2" s="3"/>
      <c r="F2" s="3"/>
    </row>
    <row r="3" customFormat="false" ht="15" hidden="false" customHeight="false" outlineLevel="0" collapsed="false">
      <c r="A3" s="4" t="s">
        <v>6</v>
      </c>
      <c r="B3" s="4" t="s">
        <v>7</v>
      </c>
      <c r="C3" s="4" t="n">
        <v>20</v>
      </c>
      <c r="D3" s="4" t="n">
        <v>0</v>
      </c>
      <c r="E3" s="1" t="n">
        <v>0.9577</v>
      </c>
      <c r="F3" s="1" t="n">
        <v>0.96</v>
      </c>
    </row>
    <row r="4" customFormat="false" ht="15" hidden="false" customHeight="false" outlineLevel="0" collapsed="false">
      <c r="A4" s="4" t="s">
        <v>6</v>
      </c>
      <c r="B4" s="4" t="s">
        <v>7</v>
      </c>
      <c r="C4" s="4" t="n">
        <v>20</v>
      </c>
      <c r="D4" s="4" t="n">
        <v>1</v>
      </c>
      <c r="E4" s="1" t="n">
        <v>0.9591</v>
      </c>
      <c r="F4" s="1" t="n">
        <v>0.9634</v>
      </c>
    </row>
    <row r="5" customFormat="false" ht="15" hidden="false" customHeight="false" outlineLevel="0" collapsed="false">
      <c r="A5" s="4" t="s">
        <v>6</v>
      </c>
      <c r="B5" s="4" t="s">
        <v>7</v>
      </c>
      <c r="C5" s="4" t="n">
        <v>20</v>
      </c>
      <c r="D5" s="4" t="n">
        <v>2</v>
      </c>
      <c r="E5" s="1" t="n">
        <v>0.9495</v>
      </c>
      <c r="F5" s="1" t="n">
        <v>0.9485</v>
      </c>
    </row>
    <row r="6" customFormat="false" ht="15" hidden="false" customHeight="false" outlineLevel="0" collapsed="false">
      <c r="A6" s="4" t="s">
        <v>6</v>
      </c>
      <c r="B6" s="1" t="s">
        <v>7</v>
      </c>
      <c r="C6" s="1" t="n">
        <v>20</v>
      </c>
      <c r="D6" s="1" t="s">
        <v>8</v>
      </c>
      <c r="E6" s="1" t="n">
        <f aca="false">AVERAGE(E3:E5)</f>
        <v>0.955433333333333</v>
      </c>
      <c r="F6" s="1" t="n">
        <f aca="false">AVERAGE(F3:F5)</f>
        <v>0.9573</v>
      </c>
    </row>
    <row r="7" customFormat="false" ht="15" hidden="false" customHeight="false" outlineLevel="0" collapsed="false">
      <c r="A7" s="4" t="s">
        <v>6</v>
      </c>
      <c r="B7" s="1" t="s">
        <v>7</v>
      </c>
      <c r="C7" s="1" t="n">
        <v>40</v>
      </c>
      <c r="D7" s="1" t="n">
        <v>0</v>
      </c>
      <c r="E7" s="1" t="n">
        <v>0.9741</v>
      </c>
      <c r="F7" s="1" t="n">
        <v>0.9756</v>
      </c>
    </row>
    <row r="8" customFormat="false" ht="15" hidden="false" customHeight="false" outlineLevel="0" collapsed="false">
      <c r="A8" s="4" t="s">
        <v>6</v>
      </c>
      <c r="B8" s="1" t="s">
        <v>7</v>
      </c>
      <c r="C8" s="1" t="n">
        <v>40</v>
      </c>
      <c r="D8" s="1" t="n">
        <v>1</v>
      </c>
      <c r="E8" s="1" t="n">
        <v>0.9714</v>
      </c>
      <c r="F8" s="1" t="n">
        <v>0.9755</v>
      </c>
    </row>
    <row r="9" customFormat="false" ht="15" hidden="false" customHeight="false" outlineLevel="0" collapsed="false">
      <c r="A9" s="4" t="s">
        <v>6</v>
      </c>
      <c r="B9" s="1" t="s">
        <v>7</v>
      </c>
      <c r="C9" s="1" t="n">
        <v>40</v>
      </c>
      <c r="D9" s="1" t="n">
        <v>2</v>
      </c>
      <c r="E9" s="5" t="n">
        <v>0.9686</v>
      </c>
      <c r="F9" s="5" t="n">
        <v>0.9686</v>
      </c>
    </row>
    <row r="10" customFormat="false" ht="15" hidden="false" customHeight="false" outlineLevel="0" collapsed="false">
      <c r="A10" s="4" t="s">
        <v>6</v>
      </c>
      <c r="B10" s="1" t="s">
        <v>7</v>
      </c>
      <c r="C10" s="1" t="n">
        <v>40</v>
      </c>
      <c r="D10" s="1" t="s">
        <v>8</v>
      </c>
      <c r="E10" s="1" t="n">
        <f aca="false">AVERAGE(E7:E9)</f>
        <v>0.971366666666667</v>
      </c>
      <c r="F10" s="1" t="n">
        <f aca="false">AVERAGE(F7:F9)</f>
        <v>0.973233333333333</v>
      </c>
    </row>
    <row r="11" customFormat="false" ht="15" hidden="false" customHeight="false" outlineLevel="0" collapsed="false">
      <c r="A11" s="4" t="s">
        <v>6</v>
      </c>
      <c r="B11" s="1" t="s">
        <v>7</v>
      </c>
      <c r="C11" s="1" t="n">
        <v>60</v>
      </c>
      <c r="D11" s="1" t="n">
        <v>0</v>
      </c>
      <c r="E11" s="5" t="n">
        <v>0.9754</v>
      </c>
      <c r="F11" s="5" t="n">
        <v>0.9779</v>
      </c>
    </row>
    <row r="12" customFormat="false" ht="15" hidden="false" customHeight="false" outlineLevel="0" collapsed="false">
      <c r="A12" s="4" t="s">
        <v>6</v>
      </c>
      <c r="B12" s="1" t="s">
        <v>7</v>
      </c>
      <c r="C12" s="1" t="n">
        <v>60</v>
      </c>
      <c r="D12" s="1" t="n">
        <v>1</v>
      </c>
      <c r="E12" s="5" t="n">
        <v>0.9741</v>
      </c>
      <c r="F12" s="5" t="n">
        <v>0.9775</v>
      </c>
    </row>
    <row r="13" customFormat="false" ht="15" hidden="false" customHeight="false" outlineLevel="0" collapsed="false">
      <c r="A13" s="4" t="s">
        <v>6</v>
      </c>
      <c r="B13" s="1" t="s">
        <v>7</v>
      </c>
      <c r="C13" s="1" t="n">
        <v>60</v>
      </c>
      <c r="D13" s="1" t="n">
        <v>2</v>
      </c>
      <c r="E13" s="5" t="n">
        <v>0.9727</v>
      </c>
      <c r="F13" s="5" t="n">
        <v>0.9751</v>
      </c>
    </row>
    <row r="14" customFormat="false" ht="15" hidden="false" customHeight="false" outlineLevel="0" collapsed="false">
      <c r="A14" s="4" t="s">
        <v>6</v>
      </c>
      <c r="B14" s="1" t="s">
        <v>7</v>
      </c>
      <c r="C14" s="1" t="n">
        <v>60</v>
      </c>
      <c r="D14" s="1" t="s">
        <v>8</v>
      </c>
      <c r="E14" s="4" t="n">
        <f aca="false">AVERAGE(E11:E13)</f>
        <v>0.974066666666667</v>
      </c>
      <c r="F14" s="1" t="n">
        <f aca="false">AVERAGE(F11:F13)</f>
        <v>0.976833333333333</v>
      </c>
    </row>
    <row r="16" customFormat="false" ht="15" hidden="false" customHeight="false" outlineLevel="0" collapsed="false">
      <c r="A16" s="4" t="s">
        <v>6</v>
      </c>
      <c r="B16" s="1" t="s">
        <v>9</v>
      </c>
      <c r="C16" s="4" t="n">
        <v>20</v>
      </c>
      <c r="D16" s="4" t="n">
        <v>0</v>
      </c>
      <c r="E16" s="5" t="n">
        <v>0.8186</v>
      </c>
      <c r="F16" s="5" t="n">
        <v>0.7451</v>
      </c>
    </row>
    <row r="17" customFormat="false" ht="15" hidden="false" customHeight="false" outlineLevel="0" collapsed="false">
      <c r="A17" s="4" t="s">
        <v>6</v>
      </c>
      <c r="B17" s="1" t="s">
        <v>9</v>
      </c>
      <c r="C17" s="4" t="n">
        <v>20</v>
      </c>
      <c r="D17" s="4" t="n">
        <v>1</v>
      </c>
      <c r="E17" s="5" t="n">
        <v>0.8172</v>
      </c>
      <c r="F17" s="5" t="n">
        <v>0.7557</v>
      </c>
    </row>
    <row r="18" customFormat="false" ht="15" hidden="false" customHeight="false" outlineLevel="0" collapsed="false">
      <c r="A18" s="4" t="s">
        <v>6</v>
      </c>
      <c r="B18" s="1" t="s">
        <v>9</v>
      </c>
      <c r="C18" s="4" t="n">
        <v>20</v>
      </c>
      <c r="D18" s="4" t="n">
        <v>2</v>
      </c>
      <c r="E18" s="5" t="n">
        <v>0.8226</v>
      </c>
      <c r="F18" s="5" t="n">
        <v>0.7698</v>
      </c>
    </row>
    <row r="19" customFormat="false" ht="15" hidden="false" customHeight="false" outlineLevel="0" collapsed="false">
      <c r="A19" s="4" t="s">
        <v>6</v>
      </c>
      <c r="B19" s="1" t="s">
        <v>9</v>
      </c>
      <c r="C19" s="1" t="n">
        <v>20</v>
      </c>
      <c r="D19" s="1" t="s">
        <v>8</v>
      </c>
      <c r="E19" s="1" t="n">
        <f aca="false">AVERAGE(E16:E18)</f>
        <v>0.819466666666667</v>
      </c>
      <c r="F19" s="4" t="n">
        <f aca="false">AVERAGE(F16:F18)</f>
        <v>0.756866666666667</v>
      </c>
    </row>
    <row r="20" customFormat="false" ht="15" hidden="false" customHeight="false" outlineLevel="0" collapsed="false">
      <c r="A20" s="4" t="s">
        <v>6</v>
      </c>
      <c r="B20" s="1" t="s">
        <v>9</v>
      </c>
      <c r="C20" s="1" t="n">
        <v>40</v>
      </c>
      <c r="D20" s="1" t="n">
        <v>0</v>
      </c>
      <c r="E20" s="5" t="n">
        <v>0.8622</v>
      </c>
      <c r="F20" s="5" t="n">
        <v>0.8297</v>
      </c>
    </row>
    <row r="21" customFormat="false" ht="15" hidden="false" customHeight="false" outlineLevel="0" collapsed="false">
      <c r="A21" s="4" t="s">
        <v>6</v>
      </c>
      <c r="B21" s="1" t="s">
        <v>9</v>
      </c>
      <c r="C21" s="1" t="n">
        <v>40</v>
      </c>
      <c r="D21" s="1" t="n">
        <v>1</v>
      </c>
      <c r="E21" s="5" t="n">
        <v>0.8677</v>
      </c>
      <c r="F21" s="5" t="n">
        <v>0.8402</v>
      </c>
    </row>
    <row r="22" customFormat="false" ht="15" hidden="false" customHeight="false" outlineLevel="0" collapsed="false">
      <c r="A22" s="4" t="s">
        <v>6</v>
      </c>
      <c r="B22" s="1" t="s">
        <v>9</v>
      </c>
      <c r="C22" s="1" t="n">
        <v>40</v>
      </c>
      <c r="D22" s="1" t="n">
        <v>2</v>
      </c>
      <c r="E22" s="5" t="n">
        <v>0.8677</v>
      </c>
      <c r="F22" s="5" t="n">
        <v>0.8392</v>
      </c>
    </row>
    <row r="23" customFormat="false" ht="15" hidden="false" customHeight="false" outlineLevel="0" collapsed="false">
      <c r="A23" s="4" t="s">
        <v>6</v>
      </c>
      <c r="B23" s="1" t="s">
        <v>9</v>
      </c>
      <c r="C23" s="1" t="n">
        <v>40</v>
      </c>
      <c r="D23" s="1" t="s">
        <v>8</v>
      </c>
      <c r="E23" s="1" t="n">
        <f aca="false">AVERAGE(E20:E22)</f>
        <v>0.865866666666667</v>
      </c>
      <c r="F23" s="1" t="n">
        <f aca="false">AVERAGE(F20:F22)</f>
        <v>0.836366666666667</v>
      </c>
    </row>
    <row r="24" customFormat="false" ht="15" hidden="false" customHeight="false" outlineLevel="0" collapsed="false">
      <c r="A24" s="4" t="s">
        <v>6</v>
      </c>
      <c r="B24" s="1" t="s">
        <v>9</v>
      </c>
      <c r="C24" s="1" t="n">
        <v>60</v>
      </c>
      <c r="D24" s="1" t="n">
        <v>0</v>
      </c>
      <c r="E24" s="5" t="n">
        <v>0.8786</v>
      </c>
      <c r="F24" s="5" t="n">
        <v>0.8536</v>
      </c>
    </row>
    <row r="25" customFormat="false" ht="15" hidden="false" customHeight="false" outlineLevel="0" collapsed="false">
      <c r="A25" s="4" t="s">
        <v>6</v>
      </c>
      <c r="B25" s="1" t="s">
        <v>9</v>
      </c>
      <c r="C25" s="1" t="n">
        <v>60</v>
      </c>
      <c r="D25" s="1" t="n">
        <v>1</v>
      </c>
      <c r="E25" s="5" t="n">
        <v>0.8813</v>
      </c>
      <c r="F25" s="5" t="n">
        <v>0.8674</v>
      </c>
    </row>
    <row r="26" customFormat="false" ht="15" hidden="false" customHeight="false" outlineLevel="0" collapsed="false">
      <c r="A26" s="4" t="s">
        <v>6</v>
      </c>
      <c r="B26" s="1" t="s">
        <v>9</v>
      </c>
      <c r="C26" s="1" t="n">
        <v>60</v>
      </c>
      <c r="D26" s="1" t="n">
        <v>2</v>
      </c>
      <c r="E26" s="5" t="n">
        <v>0.8731</v>
      </c>
      <c r="F26" s="5" t="n">
        <v>0.8532</v>
      </c>
    </row>
    <row r="27" customFormat="false" ht="15" hidden="false" customHeight="false" outlineLevel="0" collapsed="false">
      <c r="A27" s="4" t="s">
        <v>6</v>
      </c>
      <c r="B27" s="1" t="s">
        <v>9</v>
      </c>
      <c r="C27" s="1" t="n">
        <v>60</v>
      </c>
      <c r="D27" s="1" t="s">
        <v>8</v>
      </c>
      <c r="E27" s="1" t="n">
        <f aca="false">AVERAGE(E24:E26)</f>
        <v>0.877666666666667</v>
      </c>
      <c r="F27" s="1" t="n">
        <f aca="false">AVERAGE(F24:F26)</f>
        <v>0.858066666666667</v>
      </c>
    </row>
    <row r="29" customFormat="false" ht="15" hidden="false" customHeight="false" outlineLevel="0" collapsed="false">
      <c r="A29" s="4" t="s">
        <v>6</v>
      </c>
      <c r="B29" s="1" t="s">
        <v>10</v>
      </c>
      <c r="C29" s="4" t="n">
        <v>20</v>
      </c>
      <c r="D29" s="4" t="n">
        <v>0</v>
      </c>
      <c r="E29" s="5" t="n">
        <v>0.9918</v>
      </c>
      <c r="F29" s="5" t="n">
        <v>0.9907</v>
      </c>
    </row>
    <row r="30" customFormat="false" ht="15" hidden="false" customHeight="false" outlineLevel="0" collapsed="false">
      <c r="A30" s="4" t="s">
        <v>6</v>
      </c>
      <c r="B30" s="6" t="s">
        <v>10</v>
      </c>
      <c r="C30" s="4" t="n">
        <v>20</v>
      </c>
      <c r="D30" s="4" t="n">
        <v>1</v>
      </c>
      <c r="E30" s="7" t="n">
        <v>0.9932</v>
      </c>
      <c r="F30" s="5" t="n">
        <v>0.993</v>
      </c>
    </row>
    <row r="31" customFormat="false" ht="15" hidden="false" customHeight="false" outlineLevel="0" collapsed="false">
      <c r="A31" s="4" t="s">
        <v>6</v>
      </c>
      <c r="B31" s="6" t="s">
        <v>10</v>
      </c>
      <c r="C31" s="4" t="n">
        <v>20</v>
      </c>
      <c r="D31" s="4" t="n">
        <v>2</v>
      </c>
      <c r="E31" s="5" t="n">
        <v>0.9864</v>
      </c>
      <c r="F31" s="5" t="n">
        <v>0.9856</v>
      </c>
    </row>
    <row r="32" customFormat="false" ht="15" hidden="false" customHeight="false" outlineLevel="0" collapsed="false">
      <c r="A32" s="4" t="s">
        <v>6</v>
      </c>
      <c r="B32" s="6" t="s">
        <v>10</v>
      </c>
      <c r="C32" s="1" t="n">
        <v>20</v>
      </c>
      <c r="D32" s="1" t="s">
        <v>8</v>
      </c>
      <c r="E32" s="1" t="n">
        <f aca="false">AVERAGE(E29:E31)</f>
        <v>0.990466666666667</v>
      </c>
      <c r="F32" s="1" t="n">
        <f aca="false">AVERAGE(F29:F31)</f>
        <v>0.989766666666667</v>
      </c>
    </row>
    <row r="33" customFormat="false" ht="15" hidden="false" customHeight="false" outlineLevel="0" collapsed="false">
      <c r="A33" s="4" t="s">
        <v>6</v>
      </c>
      <c r="B33" s="6" t="s">
        <v>10</v>
      </c>
      <c r="C33" s="1" t="n">
        <v>40</v>
      </c>
      <c r="D33" s="1" t="n">
        <v>0</v>
      </c>
      <c r="E33" s="5" t="n">
        <v>0.9932</v>
      </c>
      <c r="F33" s="5" t="n">
        <v>0.9921</v>
      </c>
    </row>
    <row r="34" customFormat="false" ht="15" hidden="false" customHeight="false" outlineLevel="0" collapsed="false">
      <c r="A34" s="4" t="s">
        <v>6</v>
      </c>
      <c r="B34" s="6" t="s">
        <v>10</v>
      </c>
      <c r="C34" s="1" t="n">
        <v>40</v>
      </c>
      <c r="D34" s="1" t="n">
        <v>1</v>
      </c>
      <c r="E34" s="5" t="n">
        <v>0.9932</v>
      </c>
      <c r="F34" s="5" t="n">
        <v>0.9921</v>
      </c>
    </row>
    <row r="35" customFormat="false" ht="15" hidden="false" customHeight="false" outlineLevel="0" collapsed="false">
      <c r="A35" s="4" t="s">
        <v>6</v>
      </c>
      <c r="B35" s="6" t="s">
        <v>10</v>
      </c>
      <c r="C35" s="1" t="n">
        <v>40</v>
      </c>
      <c r="D35" s="1" t="n">
        <v>2</v>
      </c>
      <c r="E35" s="5" t="n">
        <v>0.9932</v>
      </c>
      <c r="F35" s="5" t="n">
        <v>0.9929</v>
      </c>
    </row>
    <row r="36" customFormat="false" ht="15" hidden="false" customHeight="false" outlineLevel="0" collapsed="false">
      <c r="A36" s="4" t="s">
        <v>6</v>
      </c>
      <c r="B36" s="6" t="s">
        <v>10</v>
      </c>
      <c r="C36" s="1" t="n">
        <v>40</v>
      </c>
      <c r="D36" s="1" t="s">
        <v>8</v>
      </c>
      <c r="E36" s="1" t="n">
        <f aca="false">AVERAGE(E33:E35)</f>
        <v>0.9932</v>
      </c>
      <c r="F36" s="1" t="n">
        <f aca="false">AVERAGE(F33:F35)</f>
        <v>0.992366666666667</v>
      </c>
    </row>
    <row r="37" customFormat="false" ht="15" hidden="false" customHeight="false" outlineLevel="0" collapsed="false">
      <c r="A37" s="4" t="s">
        <v>6</v>
      </c>
      <c r="B37" s="6" t="s">
        <v>10</v>
      </c>
      <c r="C37" s="1" t="n">
        <v>60</v>
      </c>
      <c r="D37" s="1" t="n">
        <v>0</v>
      </c>
      <c r="E37" s="5" t="n">
        <v>0.9945</v>
      </c>
      <c r="F37" s="5" t="n">
        <v>0.9955</v>
      </c>
    </row>
    <row r="38" customFormat="false" ht="15" hidden="false" customHeight="false" outlineLevel="0" collapsed="false">
      <c r="A38" s="4" t="s">
        <v>6</v>
      </c>
      <c r="B38" s="6" t="s">
        <v>10</v>
      </c>
      <c r="C38" s="1" t="n">
        <v>60</v>
      </c>
      <c r="D38" s="1" t="n">
        <v>1</v>
      </c>
      <c r="E38" s="5" t="n">
        <v>0.9905</v>
      </c>
      <c r="F38" s="5" t="n">
        <v>0.9883</v>
      </c>
    </row>
    <row r="39" customFormat="false" ht="15" hidden="false" customHeight="false" outlineLevel="0" collapsed="false">
      <c r="A39" s="4" t="s">
        <v>6</v>
      </c>
      <c r="B39" s="6" t="s">
        <v>10</v>
      </c>
      <c r="C39" s="1" t="n">
        <v>60</v>
      </c>
      <c r="D39" s="1" t="n">
        <v>2</v>
      </c>
      <c r="E39" s="5" t="n">
        <v>0.9809</v>
      </c>
      <c r="F39" s="5" t="n">
        <v>0.9809</v>
      </c>
    </row>
    <row r="40" customFormat="false" ht="15" hidden="false" customHeight="false" outlineLevel="0" collapsed="false">
      <c r="A40" s="4" t="s">
        <v>6</v>
      </c>
      <c r="B40" s="6" t="s">
        <v>10</v>
      </c>
      <c r="C40" s="1" t="n">
        <v>60</v>
      </c>
      <c r="D40" s="1" t="s">
        <v>8</v>
      </c>
      <c r="E40" s="1" t="n">
        <f aca="false">AVERAGE(E37:E39)</f>
        <v>0.988633333333333</v>
      </c>
      <c r="F40" s="1" t="n">
        <f aca="false">AVERAGE(F37:F39)</f>
        <v>0.988233333333333</v>
      </c>
    </row>
    <row r="42" customFormat="false" ht="15" hidden="false" customHeight="false" outlineLevel="0" collapsed="false">
      <c r="A42" s="4" t="s">
        <v>6</v>
      </c>
      <c r="B42" s="1" t="s">
        <v>11</v>
      </c>
      <c r="C42" s="4" t="n">
        <v>20</v>
      </c>
      <c r="D42" s="4" t="n">
        <v>0</v>
      </c>
      <c r="E42" s="5" t="n">
        <v>0.97</v>
      </c>
      <c r="F42" s="5" t="n">
        <v>0.97</v>
      </c>
    </row>
    <row r="43" customFormat="false" ht="15" hidden="false" customHeight="false" outlineLevel="0" collapsed="false">
      <c r="A43" s="4" t="s">
        <v>6</v>
      </c>
      <c r="B43" s="6" t="s">
        <v>11</v>
      </c>
      <c r="C43" s="4" t="n">
        <v>20</v>
      </c>
      <c r="D43" s="4" t="n">
        <v>1</v>
      </c>
      <c r="E43" s="5" t="n">
        <v>0.9577</v>
      </c>
      <c r="F43" s="5" t="n">
        <v>0.956</v>
      </c>
    </row>
    <row r="44" customFormat="false" ht="15" hidden="false" customHeight="false" outlineLevel="0" collapsed="false">
      <c r="A44" s="4" t="s">
        <v>6</v>
      </c>
      <c r="B44" s="1" t="s">
        <v>11</v>
      </c>
      <c r="C44" s="4" t="n">
        <v>20</v>
      </c>
      <c r="D44" s="4" t="n">
        <v>2</v>
      </c>
      <c r="E44" s="5" t="n">
        <v>0.9577</v>
      </c>
      <c r="F44" s="5" t="n">
        <v>0.9572</v>
      </c>
    </row>
    <row r="45" customFormat="false" ht="15" hidden="false" customHeight="false" outlineLevel="0" collapsed="false">
      <c r="A45" s="4" t="s">
        <v>6</v>
      </c>
      <c r="B45" s="6" t="s">
        <v>11</v>
      </c>
      <c r="C45" s="1" t="n">
        <v>20</v>
      </c>
      <c r="D45" s="1" t="s">
        <v>8</v>
      </c>
      <c r="E45" s="1" t="n">
        <f aca="false">AVERAGE(E42:E44)</f>
        <v>0.9618</v>
      </c>
      <c r="F45" s="1" t="n">
        <f aca="false">AVERAGE(F42:F44)</f>
        <v>0.961066666666667</v>
      </c>
    </row>
    <row r="46" customFormat="false" ht="15" hidden="false" customHeight="false" outlineLevel="0" collapsed="false">
      <c r="A46" s="4" t="s">
        <v>6</v>
      </c>
      <c r="B46" s="1" t="s">
        <v>11</v>
      </c>
      <c r="C46" s="1" t="n">
        <v>40</v>
      </c>
      <c r="D46" s="1" t="n">
        <v>0</v>
      </c>
      <c r="E46" s="5" t="n">
        <v>0.9877</v>
      </c>
      <c r="F46" s="5" t="n">
        <v>0.9893</v>
      </c>
    </row>
    <row r="47" customFormat="false" ht="15" hidden="false" customHeight="false" outlineLevel="0" collapsed="false">
      <c r="A47" s="4" t="s">
        <v>6</v>
      </c>
      <c r="B47" s="6" t="s">
        <v>11</v>
      </c>
      <c r="C47" s="1" t="n">
        <v>40</v>
      </c>
      <c r="D47" s="1" t="n">
        <v>1</v>
      </c>
      <c r="E47" s="5" t="n">
        <v>0.9782</v>
      </c>
      <c r="F47" s="5" t="n">
        <v>0.9768</v>
      </c>
    </row>
    <row r="48" customFormat="false" ht="15" hidden="false" customHeight="false" outlineLevel="0" collapsed="false">
      <c r="A48" s="4" t="s">
        <v>6</v>
      </c>
      <c r="B48" s="1" t="s">
        <v>11</v>
      </c>
      <c r="C48" s="1" t="n">
        <v>40</v>
      </c>
      <c r="D48" s="1" t="n">
        <v>2</v>
      </c>
      <c r="E48" s="5" t="n">
        <v>0.9809</v>
      </c>
      <c r="F48" s="5" t="n">
        <v>0.9829</v>
      </c>
    </row>
    <row r="49" customFormat="false" ht="15" hidden="false" customHeight="false" outlineLevel="0" collapsed="false">
      <c r="A49" s="4" t="s">
        <v>6</v>
      </c>
      <c r="B49" s="6" t="s">
        <v>11</v>
      </c>
      <c r="C49" s="1" t="n">
        <v>40</v>
      </c>
      <c r="D49" s="1" t="s">
        <v>8</v>
      </c>
      <c r="E49" s="1" t="n">
        <f aca="false">AVERAGE(E46:E48)</f>
        <v>0.982266666666667</v>
      </c>
      <c r="F49" s="1" t="n">
        <f aca="false">AVERAGE(F46:F48)</f>
        <v>0.983</v>
      </c>
    </row>
    <row r="50" customFormat="false" ht="15" hidden="false" customHeight="false" outlineLevel="0" collapsed="false">
      <c r="A50" s="4" t="s">
        <v>6</v>
      </c>
      <c r="B50" s="1" t="s">
        <v>11</v>
      </c>
      <c r="C50" s="1" t="n">
        <v>60</v>
      </c>
      <c r="D50" s="1" t="n">
        <v>0</v>
      </c>
      <c r="E50" s="5" t="n">
        <v>0.985</v>
      </c>
      <c r="F50" s="5" t="n">
        <v>0.989</v>
      </c>
    </row>
    <row r="51" customFormat="false" ht="15" hidden="false" customHeight="false" outlineLevel="0" collapsed="false">
      <c r="A51" s="4" t="s">
        <v>6</v>
      </c>
      <c r="B51" s="6" t="s">
        <v>11</v>
      </c>
      <c r="C51" s="1" t="n">
        <v>60</v>
      </c>
      <c r="D51" s="1" t="n">
        <v>1</v>
      </c>
      <c r="E51" s="5" t="n">
        <v>0.9754</v>
      </c>
      <c r="F51" s="5" t="n">
        <v>0.9749</v>
      </c>
    </row>
    <row r="52" customFormat="false" ht="15" hidden="false" customHeight="false" outlineLevel="0" collapsed="false">
      <c r="A52" s="4" t="s">
        <v>6</v>
      </c>
      <c r="B52" s="1" t="s">
        <v>11</v>
      </c>
      <c r="C52" s="1" t="n">
        <v>60</v>
      </c>
      <c r="D52" s="1" t="n">
        <v>2</v>
      </c>
      <c r="E52" s="5" t="n">
        <v>0.9809</v>
      </c>
      <c r="F52" s="5" t="n">
        <v>0.9814</v>
      </c>
    </row>
    <row r="53" customFormat="false" ht="15" hidden="false" customHeight="false" outlineLevel="0" collapsed="false">
      <c r="A53" s="4" t="s">
        <v>6</v>
      </c>
      <c r="B53" s="6" t="s">
        <v>11</v>
      </c>
      <c r="C53" s="1" t="n">
        <v>60</v>
      </c>
      <c r="D53" s="1" t="s">
        <v>8</v>
      </c>
      <c r="E53" s="1" t="n">
        <f aca="false">AVERAGE(E50:E52)</f>
        <v>0.980433333333333</v>
      </c>
      <c r="F53" s="1" t="n">
        <f aca="false">AVERAGE(F50:F52)</f>
        <v>0.981766666666667</v>
      </c>
    </row>
    <row r="55" customFormat="false" ht="15" hidden="false" customHeight="false" outlineLevel="0" collapsed="false">
      <c r="A55" s="4" t="s">
        <v>6</v>
      </c>
      <c r="B55" s="6" t="s">
        <v>12</v>
      </c>
      <c r="C55" s="4" t="n">
        <v>20</v>
      </c>
      <c r="D55" s="4" t="n">
        <v>0</v>
      </c>
      <c r="E55" s="5" t="n">
        <v>0.9509</v>
      </c>
      <c r="F55" s="5" t="n">
        <v>0.9468</v>
      </c>
    </row>
    <row r="56" customFormat="false" ht="15" hidden="false" customHeight="false" outlineLevel="0" collapsed="false">
      <c r="A56" s="4" t="s">
        <v>6</v>
      </c>
      <c r="B56" s="6" t="s">
        <v>12</v>
      </c>
      <c r="C56" s="4" t="n">
        <v>20</v>
      </c>
      <c r="D56" s="4" t="n">
        <v>1</v>
      </c>
      <c r="E56" s="5" t="n">
        <v>0.97</v>
      </c>
      <c r="F56" s="5" t="n">
        <v>0.9712</v>
      </c>
    </row>
    <row r="57" customFormat="false" ht="15" hidden="false" customHeight="false" outlineLevel="0" collapsed="false">
      <c r="A57" s="4" t="s">
        <v>6</v>
      </c>
      <c r="B57" s="6" t="s">
        <v>12</v>
      </c>
      <c r="C57" s="4" t="n">
        <v>20</v>
      </c>
      <c r="D57" s="4" t="n">
        <v>2</v>
      </c>
      <c r="E57" s="5" t="n">
        <v>0.9509</v>
      </c>
      <c r="F57" s="5" t="n">
        <v>0.9449</v>
      </c>
    </row>
    <row r="58" customFormat="false" ht="15" hidden="false" customHeight="false" outlineLevel="0" collapsed="false">
      <c r="A58" s="4" t="s">
        <v>6</v>
      </c>
      <c r="B58" s="6" t="s">
        <v>12</v>
      </c>
      <c r="C58" s="1" t="n">
        <v>20</v>
      </c>
      <c r="D58" s="1" t="s">
        <v>8</v>
      </c>
      <c r="E58" s="1" t="n">
        <f aca="false">AVERAGE(E55:E57)</f>
        <v>0.957266666666667</v>
      </c>
      <c r="F58" s="1" t="n">
        <f aca="false">AVERAGE(F55:F57)</f>
        <v>0.9543</v>
      </c>
    </row>
    <row r="59" customFormat="false" ht="15" hidden="false" customHeight="false" outlineLevel="0" collapsed="false">
      <c r="A59" s="4" t="s">
        <v>6</v>
      </c>
      <c r="B59" s="6" t="s">
        <v>12</v>
      </c>
      <c r="C59" s="1" t="n">
        <v>40</v>
      </c>
      <c r="D59" s="1" t="n">
        <v>0</v>
      </c>
      <c r="E59" s="5" t="n">
        <v>0.9686</v>
      </c>
      <c r="F59" s="5" t="n">
        <v>0.9704</v>
      </c>
    </row>
    <row r="60" customFormat="false" ht="15" hidden="false" customHeight="false" outlineLevel="0" collapsed="false">
      <c r="A60" s="4" t="s">
        <v>6</v>
      </c>
      <c r="B60" s="6" t="s">
        <v>12</v>
      </c>
      <c r="C60" s="1" t="n">
        <v>40</v>
      </c>
      <c r="D60" s="1" t="n">
        <v>1</v>
      </c>
      <c r="E60" s="5" t="n">
        <v>0.9741</v>
      </c>
      <c r="F60" s="5" t="n">
        <v>0.9767</v>
      </c>
    </row>
    <row r="61" customFormat="false" ht="15" hidden="false" customHeight="false" outlineLevel="0" collapsed="false">
      <c r="A61" s="4" t="s">
        <v>6</v>
      </c>
      <c r="B61" s="6" t="s">
        <v>12</v>
      </c>
      <c r="C61" s="1" t="n">
        <v>40</v>
      </c>
      <c r="D61" s="1" t="n">
        <v>2</v>
      </c>
      <c r="E61" s="5" t="n">
        <v>0.9741</v>
      </c>
      <c r="F61" s="5" t="n">
        <v>0.9733</v>
      </c>
    </row>
    <row r="62" customFormat="false" ht="15" hidden="false" customHeight="false" outlineLevel="0" collapsed="false">
      <c r="A62" s="4" t="s">
        <v>6</v>
      </c>
      <c r="B62" s="6" t="s">
        <v>12</v>
      </c>
      <c r="C62" s="1" t="n">
        <v>40</v>
      </c>
      <c r="D62" s="1" t="s">
        <v>8</v>
      </c>
      <c r="E62" s="1" t="n">
        <f aca="false">AVERAGE(E59:E61)</f>
        <v>0.972266666666667</v>
      </c>
      <c r="F62" s="1" t="n">
        <f aca="false">AVERAGE(F59:F61)</f>
        <v>0.973466666666667</v>
      </c>
    </row>
    <row r="63" customFormat="false" ht="15" hidden="false" customHeight="false" outlineLevel="0" collapsed="false">
      <c r="A63" s="4" t="s">
        <v>6</v>
      </c>
      <c r="B63" s="6" t="s">
        <v>12</v>
      </c>
      <c r="C63" s="1" t="n">
        <v>60</v>
      </c>
      <c r="D63" s="1" t="n">
        <v>0</v>
      </c>
      <c r="E63" s="5" t="n">
        <v>0.9714</v>
      </c>
      <c r="F63" s="5" t="n">
        <v>0.9733</v>
      </c>
    </row>
    <row r="64" customFormat="false" ht="15" hidden="false" customHeight="false" outlineLevel="0" collapsed="false">
      <c r="A64" s="4" t="s">
        <v>6</v>
      </c>
      <c r="B64" s="6" t="s">
        <v>12</v>
      </c>
      <c r="C64" s="1" t="n">
        <v>60</v>
      </c>
      <c r="D64" s="1" t="n">
        <v>1</v>
      </c>
      <c r="E64" s="5" t="n">
        <v>0.9795</v>
      </c>
      <c r="F64" s="5" t="n">
        <v>0.978</v>
      </c>
    </row>
    <row r="65" customFormat="false" ht="15" hidden="false" customHeight="false" outlineLevel="0" collapsed="false">
      <c r="A65" s="4" t="s">
        <v>6</v>
      </c>
      <c r="B65" s="6" t="s">
        <v>12</v>
      </c>
      <c r="C65" s="1" t="n">
        <v>60</v>
      </c>
      <c r="D65" s="1" t="n">
        <v>2</v>
      </c>
      <c r="E65" s="5" t="n">
        <v>0.9782</v>
      </c>
      <c r="F65" s="5" t="n">
        <v>0.9768</v>
      </c>
    </row>
    <row r="66" customFormat="false" ht="15" hidden="false" customHeight="false" outlineLevel="0" collapsed="false">
      <c r="A66" s="4" t="s">
        <v>6</v>
      </c>
      <c r="B66" s="6" t="s">
        <v>12</v>
      </c>
      <c r="C66" s="1" t="n">
        <v>60</v>
      </c>
      <c r="D66" s="1" t="s">
        <v>8</v>
      </c>
      <c r="E66" s="1" t="n">
        <f aca="false">AVERAGE(E63:E65)</f>
        <v>0.976366666666667</v>
      </c>
      <c r="F66" s="1" t="n">
        <f aca="false">AVERAGE(F63:F65)</f>
        <v>0.976033333333333</v>
      </c>
    </row>
    <row r="68" customFormat="false" ht="15" hidden="false" customHeight="false" outlineLevel="0" collapsed="false">
      <c r="A68" s="4" t="s">
        <v>6</v>
      </c>
      <c r="B68" s="6" t="s">
        <v>13</v>
      </c>
      <c r="C68" s="4" t="n">
        <v>20</v>
      </c>
      <c r="D68" s="4" t="n">
        <v>0</v>
      </c>
      <c r="E68" s="5" t="n">
        <v>0.9563</v>
      </c>
      <c r="F68" s="5" t="n">
        <v>0.9557</v>
      </c>
    </row>
    <row r="69" customFormat="false" ht="15" hidden="false" customHeight="false" outlineLevel="0" collapsed="false">
      <c r="A69" s="4" t="s">
        <v>6</v>
      </c>
      <c r="B69" s="6" t="s">
        <v>13</v>
      </c>
      <c r="C69" s="4" t="n">
        <v>20</v>
      </c>
      <c r="D69" s="4" t="n">
        <v>1</v>
      </c>
      <c r="E69" s="5" t="n">
        <v>0.9413</v>
      </c>
      <c r="F69" s="5" t="n">
        <v>0.9336</v>
      </c>
    </row>
    <row r="70" customFormat="false" ht="15" hidden="false" customHeight="false" outlineLevel="0" collapsed="false">
      <c r="A70" s="4" t="s">
        <v>6</v>
      </c>
      <c r="B70" s="6" t="s">
        <v>13</v>
      </c>
      <c r="C70" s="4" t="n">
        <v>20</v>
      </c>
      <c r="D70" s="4" t="n">
        <v>2</v>
      </c>
      <c r="E70" s="5" t="n">
        <v>0.9523</v>
      </c>
      <c r="F70" s="5" t="n">
        <v>0.9519</v>
      </c>
    </row>
    <row r="71" customFormat="false" ht="15" hidden="false" customHeight="false" outlineLevel="0" collapsed="false">
      <c r="A71" s="4" t="s">
        <v>6</v>
      </c>
      <c r="B71" s="6" t="s">
        <v>13</v>
      </c>
      <c r="C71" s="1" t="n">
        <v>20</v>
      </c>
      <c r="D71" s="1" t="s">
        <v>8</v>
      </c>
      <c r="E71" s="1" t="n">
        <f aca="false">AVERAGE(E68:E70)</f>
        <v>0.949966666666667</v>
      </c>
      <c r="F71" s="1" t="n">
        <f aca="false">AVERAGE(F68:F70)</f>
        <v>0.947066666666667</v>
      </c>
    </row>
    <row r="72" customFormat="false" ht="15" hidden="false" customHeight="false" outlineLevel="0" collapsed="false">
      <c r="A72" s="4" t="s">
        <v>6</v>
      </c>
      <c r="B72" s="6" t="s">
        <v>13</v>
      </c>
      <c r="C72" s="1" t="n">
        <v>40</v>
      </c>
      <c r="D72" s="1" t="n">
        <v>0</v>
      </c>
      <c r="E72" s="5" t="n">
        <v>0.9754</v>
      </c>
      <c r="F72" s="5" t="n">
        <v>0.9782</v>
      </c>
    </row>
    <row r="73" customFormat="false" ht="15" hidden="false" customHeight="false" outlineLevel="0" collapsed="false">
      <c r="A73" s="4" t="s">
        <v>6</v>
      </c>
      <c r="B73" s="6" t="s">
        <v>13</v>
      </c>
      <c r="C73" s="1" t="n">
        <v>40</v>
      </c>
      <c r="D73" s="1" t="n">
        <v>1</v>
      </c>
      <c r="E73" s="5" t="n">
        <v>0.9754</v>
      </c>
      <c r="F73" s="5" t="n">
        <v>0.9756</v>
      </c>
    </row>
    <row r="74" customFormat="false" ht="15" hidden="false" customHeight="false" outlineLevel="0" collapsed="false">
      <c r="A74" s="4" t="s">
        <v>6</v>
      </c>
      <c r="B74" s="6" t="s">
        <v>13</v>
      </c>
      <c r="C74" s="1" t="n">
        <v>40</v>
      </c>
      <c r="D74" s="1" t="n">
        <v>2</v>
      </c>
      <c r="E74" s="5" t="n">
        <v>0.9754</v>
      </c>
      <c r="F74" s="5" t="n">
        <v>0.9771</v>
      </c>
    </row>
    <row r="75" customFormat="false" ht="15" hidden="false" customHeight="false" outlineLevel="0" collapsed="false">
      <c r="A75" s="4" t="s">
        <v>6</v>
      </c>
      <c r="B75" s="6" t="s">
        <v>13</v>
      </c>
      <c r="C75" s="1" t="n">
        <v>40</v>
      </c>
      <c r="D75" s="1" t="s">
        <v>8</v>
      </c>
      <c r="E75" s="1" t="n">
        <f aca="false">AVERAGE(E72:E74)</f>
        <v>0.9754</v>
      </c>
      <c r="F75" s="1" t="n">
        <f aca="false">AVERAGE(F72:F74)</f>
        <v>0.976966666666667</v>
      </c>
    </row>
    <row r="76" customFormat="false" ht="15" hidden="false" customHeight="false" outlineLevel="0" collapsed="false">
      <c r="A76" s="4" t="s">
        <v>6</v>
      </c>
      <c r="B76" s="6" t="s">
        <v>13</v>
      </c>
      <c r="C76" s="1" t="n">
        <v>60</v>
      </c>
      <c r="D76" s="1" t="n">
        <v>0</v>
      </c>
      <c r="E76" s="5" t="n">
        <v>0.9768</v>
      </c>
      <c r="F76" s="5" t="n">
        <v>0.9783</v>
      </c>
    </row>
    <row r="77" customFormat="false" ht="15" hidden="false" customHeight="false" outlineLevel="0" collapsed="false">
      <c r="A77" s="4" t="s">
        <v>6</v>
      </c>
      <c r="B77" s="6" t="s">
        <v>13</v>
      </c>
      <c r="C77" s="1" t="n">
        <v>60</v>
      </c>
      <c r="D77" s="1" t="n">
        <v>1</v>
      </c>
      <c r="E77" s="5" t="n">
        <v>0.9741</v>
      </c>
      <c r="F77" s="5" t="n">
        <v>0.9691</v>
      </c>
    </row>
    <row r="78" customFormat="false" ht="15" hidden="false" customHeight="false" outlineLevel="0" collapsed="false">
      <c r="A78" s="4" t="s">
        <v>6</v>
      </c>
      <c r="B78" s="6" t="s">
        <v>13</v>
      </c>
      <c r="C78" s="1" t="n">
        <v>60</v>
      </c>
      <c r="D78" s="1" t="n">
        <v>2</v>
      </c>
      <c r="E78" s="5" t="n">
        <v>0.9809</v>
      </c>
      <c r="F78" s="5" t="n">
        <v>0.981</v>
      </c>
    </row>
    <row r="79" customFormat="false" ht="15" hidden="false" customHeight="false" outlineLevel="0" collapsed="false">
      <c r="A79" s="4" t="s">
        <v>6</v>
      </c>
      <c r="B79" s="6" t="s">
        <v>13</v>
      </c>
      <c r="C79" s="1" t="n">
        <v>60</v>
      </c>
      <c r="D79" s="1" t="s">
        <v>8</v>
      </c>
      <c r="E79" s="1" t="n">
        <f aca="false">AVERAGE(E76:E78)</f>
        <v>0.977266666666667</v>
      </c>
      <c r="F79" s="1" t="n">
        <f aca="false">AVERAGE(F76:F78)</f>
        <v>0.976133333333333</v>
      </c>
    </row>
    <row r="81" customFormat="false" ht="15" hidden="false" customHeight="false" outlineLevel="0" collapsed="false">
      <c r="A81" s="4" t="s">
        <v>6</v>
      </c>
      <c r="B81" s="1" t="s">
        <v>14</v>
      </c>
      <c r="C81" s="4" t="n">
        <v>20</v>
      </c>
      <c r="D81" s="4" t="n">
        <v>0</v>
      </c>
      <c r="E81" s="5" t="n">
        <v>0.9618</v>
      </c>
      <c r="F81" s="5" t="n">
        <v>0.9612</v>
      </c>
    </row>
    <row r="82" customFormat="false" ht="15" hidden="false" customHeight="false" outlineLevel="0" collapsed="false">
      <c r="A82" s="4" t="s">
        <v>6</v>
      </c>
      <c r="B82" s="1" t="s">
        <v>14</v>
      </c>
      <c r="C82" s="4" t="n">
        <v>20</v>
      </c>
      <c r="D82" s="4" t="n">
        <v>1</v>
      </c>
      <c r="E82" s="5" t="n">
        <v>0.9591</v>
      </c>
      <c r="F82" s="5" t="n">
        <v>0.9569</v>
      </c>
    </row>
    <row r="83" customFormat="false" ht="15" hidden="false" customHeight="false" outlineLevel="0" collapsed="false">
      <c r="A83" s="4" t="s">
        <v>6</v>
      </c>
      <c r="B83" s="1" t="s">
        <v>14</v>
      </c>
      <c r="C83" s="4" t="n">
        <v>20</v>
      </c>
      <c r="D83" s="4" t="n">
        <v>2</v>
      </c>
      <c r="E83" s="5" t="n">
        <v>0.9604</v>
      </c>
      <c r="F83" s="5" t="n">
        <v>0.9581</v>
      </c>
    </row>
    <row r="84" customFormat="false" ht="15" hidden="false" customHeight="false" outlineLevel="0" collapsed="false">
      <c r="A84" s="4" t="s">
        <v>6</v>
      </c>
      <c r="B84" s="1" t="s">
        <v>14</v>
      </c>
      <c r="C84" s="1" t="n">
        <v>20</v>
      </c>
      <c r="D84" s="1" t="s">
        <v>8</v>
      </c>
      <c r="E84" s="1" t="n">
        <f aca="false">AVERAGE(E81:E83)</f>
        <v>0.960433333333333</v>
      </c>
      <c r="F84" s="1" t="n">
        <f aca="false">AVERAGE(F81:F83)</f>
        <v>0.958733333333333</v>
      </c>
    </row>
    <row r="85" customFormat="false" ht="15" hidden="false" customHeight="false" outlineLevel="0" collapsed="false">
      <c r="A85" s="4" t="s">
        <v>6</v>
      </c>
      <c r="B85" s="1" t="s">
        <v>14</v>
      </c>
      <c r="C85" s="1" t="n">
        <v>40</v>
      </c>
      <c r="D85" s="1" t="n">
        <v>0</v>
      </c>
      <c r="E85" s="5" t="n">
        <v>0.9809</v>
      </c>
      <c r="F85" s="5" t="n">
        <v>0.9815</v>
      </c>
    </row>
    <row r="86" customFormat="false" ht="15" hidden="false" customHeight="false" outlineLevel="0" collapsed="false">
      <c r="A86" s="4" t="s">
        <v>6</v>
      </c>
      <c r="B86" s="1" t="s">
        <v>14</v>
      </c>
      <c r="C86" s="1" t="n">
        <v>40</v>
      </c>
      <c r="D86" s="1" t="n">
        <v>1</v>
      </c>
      <c r="E86" s="5" t="n">
        <v>0.9754</v>
      </c>
      <c r="F86" s="5" t="n">
        <v>0.9756</v>
      </c>
    </row>
    <row r="87" customFormat="false" ht="15" hidden="false" customHeight="false" outlineLevel="0" collapsed="false">
      <c r="A87" s="4" t="s">
        <v>6</v>
      </c>
      <c r="B87" s="1" t="s">
        <v>14</v>
      </c>
      <c r="C87" s="1" t="n">
        <v>40</v>
      </c>
      <c r="D87" s="1" t="n">
        <v>2</v>
      </c>
      <c r="E87" s="5" t="n">
        <v>0.9754</v>
      </c>
      <c r="F87" s="5" t="n">
        <v>0.977</v>
      </c>
    </row>
    <row r="88" customFormat="false" ht="15" hidden="false" customHeight="false" outlineLevel="0" collapsed="false">
      <c r="A88" s="4" t="s">
        <v>6</v>
      </c>
      <c r="B88" s="1" t="s">
        <v>14</v>
      </c>
      <c r="C88" s="1" t="n">
        <v>40</v>
      </c>
      <c r="D88" s="1" t="s">
        <v>8</v>
      </c>
      <c r="E88" s="1" t="n">
        <f aca="false">AVERAGE(E85:E87)</f>
        <v>0.977233333333333</v>
      </c>
      <c r="F88" s="1" t="n">
        <f aca="false">AVERAGE(F85:F87)</f>
        <v>0.978033333333333</v>
      </c>
    </row>
    <row r="89" customFormat="false" ht="15" hidden="false" customHeight="false" outlineLevel="0" collapsed="false">
      <c r="A89" s="4" t="s">
        <v>6</v>
      </c>
      <c r="B89" s="1" t="s">
        <v>14</v>
      </c>
      <c r="C89" s="1" t="n">
        <v>60</v>
      </c>
      <c r="D89" s="1" t="n">
        <v>0</v>
      </c>
      <c r="E89" s="5" t="n">
        <v>0.9809</v>
      </c>
      <c r="F89" s="5" t="n">
        <v>0.9828</v>
      </c>
    </row>
    <row r="90" customFormat="false" ht="15" hidden="false" customHeight="false" outlineLevel="0" collapsed="false">
      <c r="A90" s="4" t="s">
        <v>6</v>
      </c>
      <c r="B90" s="1" t="s">
        <v>14</v>
      </c>
      <c r="C90" s="1" t="n">
        <v>60</v>
      </c>
      <c r="D90" s="1" t="n">
        <v>1</v>
      </c>
      <c r="E90" s="5" t="n">
        <v>0.97</v>
      </c>
      <c r="F90" s="5" t="n">
        <v>0.9678</v>
      </c>
    </row>
    <row r="91" customFormat="false" ht="15" hidden="false" customHeight="false" outlineLevel="0" collapsed="false">
      <c r="A91" s="4" t="s">
        <v>6</v>
      </c>
      <c r="B91" s="1" t="s">
        <v>14</v>
      </c>
      <c r="C91" s="1" t="n">
        <v>60</v>
      </c>
      <c r="D91" s="1" t="n">
        <v>2</v>
      </c>
      <c r="E91" s="5" t="n">
        <v>0.9768</v>
      </c>
      <c r="F91" s="5" t="n">
        <v>0.9794</v>
      </c>
    </row>
    <row r="92" customFormat="false" ht="15" hidden="false" customHeight="false" outlineLevel="0" collapsed="false">
      <c r="A92" s="4" t="s">
        <v>6</v>
      </c>
      <c r="B92" s="1" t="s">
        <v>14</v>
      </c>
      <c r="C92" s="1" t="n">
        <v>60</v>
      </c>
      <c r="D92" s="1" t="s">
        <v>8</v>
      </c>
      <c r="E92" s="1" t="n">
        <f aca="false">AVERAGE(E89:E91)</f>
        <v>0.9759</v>
      </c>
      <c r="F92" s="1" t="n">
        <f aca="false">AVERAGE(F89:F91)</f>
        <v>0.976666666666667</v>
      </c>
    </row>
    <row r="94" customFormat="false" ht="15" hidden="false" customHeight="false" outlineLevel="0" collapsed="false">
      <c r="A94" s="4" t="s">
        <v>6</v>
      </c>
      <c r="B94" s="1" t="s">
        <v>15</v>
      </c>
      <c r="C94" s="4" t="n">
        <v>20</v>
      </c>
      <c r="D94" s="4" t="n">
        <v>0</v>
      </c>
      <c r="E94" s="5" t="n">
        <v>0.9427</v>
      </c>
      <c r="F94" s="5" t="n">
        <v>0.9399</v>
      </c>
    </row>
    <row r="95" customFormat="false" ht="15" hidden="false" customHeight="false" outlineLevel="0" collapsed="false">
      <c r="A95" s="4" t="s">
        <v>6</v>
      </c>
      <c r="B95" s="1" t="s">
        <v>15</v>
      </c>
      <c r="C95" s="4" t="n">
        <v>20</v>
      </c>
      <c r="D95" s="4" t="n">
        <v>1</v>
      </c>
      <c r="E95" s="5" t="n">
        <v>0.9441</v>
      </c>
      <c r="F95" s="5" t="n">
        <v>0.9325</v>
      </c>
    </row>
    <row r="96" customFormat="false" ht="15" hidden="false" customHeight="false" outlineLevel="0" collapsed="false">
      <c r="A96" s="4" t="s">
        <v>6</v>
      </c>
      <c r="B96" s="1" t="s">
        <v>15</v>
      </c>
      <c r="C96" s="4" t="n">
        <v>20</v>
      </c>
      <c r="D96" s="4" t="n">
        <v>2</v>
      </c>
      <c r="E96" s="5" t="n">
        <v>0.9263</v>
      </c>
      <c r="F96" s="5" t="n">
        <v>0.9212</v>
      </c>
    </row>
    <row r="97" customFormat="false" ht="15" hidden="false" customHeight="false" outlineLevel="0" collapsed="false">
      <c r="A97" s="4" t="s">
        <v>6</v>
      </c>
      <c r="B97" s="1" t="s">
        <v>15</v>
      </c>
      <c r="C97" s="1" t="n">
        <v>20</v>
      </c>
      <c r="D97" s="1" t="s">
        <v>8</v>
      </c>
      <c r="E97" s="1" t="n">
        <f aca="false">AVERAGE(E94:E96)</f>
        <v>0.9377</v>
      </c>
      <c r="F97" s="1" t="n">
        <f aca="false">AVERAGE(F94:F96)</f>
        <v>0.9312</v>
      </c>
    </row>
    <row r="98" customFormat="false" ht="15" hidden="false" customHeight="false" outlineLevel="0" collapsed="false">
      <c r="A98" s="4" t="s">
        <v>6</v>
      </c>
      <c r="B98" s="1" t="s">
        <v>15</v>
      </c>
      <c r="C98" s="1" t="n">
        <v>40</v>
      </c>
      <c r="D98" s="1" t="n">
        <v>0</v>
      </c>
      <c r="E98" s="5" t="n">
        <v>0.9727</v>
      </c>
      <c r="F98" s="5" t="n">
        <v>0.9754</v>
      </c>
    </row>
    <row r="99" customFormat="false" ht="15" hidden="false" customHeight="false" outlineLevel="0" collapsed="false">
      <c r="A99" s="4" t="s">
        <v>6</v>
      </c>
      <c r="B99" s="1" t="s">
        <v>15</v>
      </c>
      <c r="C99" s="1" t="n">
        <v>40</v>
      </c>
      <c r="D99" s="1" t="n">
        <v>1</v>
      </c>
      <c r="E99" s="5" t="n">
        <v>0.9714</v>
      </c>
      <c r="F99" s="5" t="n">
        <v>0.9708</v>
      </c>
    </row>
    <row r="100" customFormat="false" ht="15" hidden="false" customHeight="false" outlineLevel="0" collapsed="false">
      <c r="A100" s="4" t="s">
        <v>6</v>
      </c>
      <c r="B100" s="1" t="s">
        <v>15</v>
      </c>
      <c r="C100" s="1" t="n">
        <v>40</v>
      </c>
      <c r="D100" s="1" t="n">
        <v>2</v>
      </c>
      <c r="E100" s="5" t="n">
        <v>0.9632</v>
      </c>
      <c r="F100" s="5" t="n">
        <v>0.9612</v>
      </c>
    </row>
    <row r="101" customFormat="false" ht="15" hidden="false" customHeight="false" outlineLevel="0" collapsed="false">
      <c r="A101" s="4" t="s">
        <v>6</v>
      </c>
      <c r="B101" s="1" t="s">
        <v>15</v>
      </c>
      <c r="C101" s="1" t="n">
        <v>40</v>
      </c>
      <c r="D101" s="1" t="s">
        <v>8</v>
      </c>
      <c r="E101" s="1" t="n">
        <f aca="false">AVERAGE(E98:E100)</f>
        <v>0.9691</v>
      </c>
      <c r="F101" s="1" t="n">
        <f aca="false">AVERAGE(F98:F100)</f>
        <v>0.969133333333333</v>
      </c>
    </row>
    <row r="102" customFormat="false" ht="15" hidden="false" customHeight="false" outlineLevel="0" collapsed="false">
      <c r="A102" s="4" t="s">
        <v>6</v>
      </c>
      <c r="B102" s="1" t="s">
        <v>15</v>
      </c>
      <c r="C102" s="1" t="n">
        <v>60</v>
      </c>
      <c r="D102" s="1" t="n">
        <v>0</v>
      </c>
      <c r="E102" s="5" t="n">
        <v>0.9741</v>
      </c>
      <c r="F102" s="5" t="n">
        <v>0.9731</v>
      </c>
    </row>
    <row r="103" customFormat="false" ht="15" hidden="false" customHeight="false" outlineLevel="0" collapsed="false">
      <c r="A103" s="4" t="s">
        <v>6</v>
      </c>
      <c r="B103" s="1" t="s">
        <v>15</v>
      </c>
      <c r="C103" s="1" t="n">
        <v>60</v>
      </c>
      <c r="D103" s="1" t="n">
        <v>1</v>
      </c>
      <c r="E103" s="5" t="n">
        <v>0.97</v>
      </c>
      <c r="F103" s="5" t="n">
        <v>0.9702</v>
      </c>
    </row>
    <row r="104" customFormat="false" ht="15" hidden="false" customHeight="false" outlineLevel="0" collapsed="false">
      <c r="A104" s="4" t="s">
        <v>6</v>
      </c>
      <c r="B104" s="1" t="s">
        <v>15</v>
      </c>
      <c r="C104" s="1" t="n">
        <v>60</v>
      </c>
      <c r="D104" s="1" t="n">
        <v>2</v>
      </c>
      <c r="E104" s="5" t="n">
        <v>0.97</v>
      </c>
      <c r="F104" s="5" t="n">
        <v>0.9723</v>
      </c>
    </row>
    <row r="105" customFormat="false" ht="15" hidden="false" customHeight="false" outlineLevel="0" collapsed="false">
      <c r="A105" s="4" t="s">
        <v>6</v>
      </c>
      <c r="B105" s="1" t="s">
        <v>15</v>
      </c>
      <c r="C105" s="1" t="n">
        <v>60</v>
      </c>
      <c r="D105" s="1" t="s">
        <v>8</v>
      </c>
      <c r="E105" s="1" t="n">
        <f aca="false">AVERAGE(E102:E104)</f>
        <v>0.971366666666667</v>
      </c>
      <c r="F105" s="1" t="n">
        <f aca="false">AVERAGE(F102:F104)</f>
        <v>0.971866666666667</v>
      </c>
    </row>
    <row r="107" customFormat="false" ht="15" hidden="false" customHeight="false" outlineLevel="0" collapsed="false">
      <c r="B107" s="6" t="s">
        <v>16</v>
      </c>
    </row>
    <row r="109" customFormat="false" ht="15" hidden="false" customHeight="false" outlineLevel="0" collapsed="false">
      <c r="A109" s="6" t="s">
        <v>16</v>
      </c>
      <c r="B109" s="4" t="s">
        <v>7</v>
      </c>
      <c r="C109" s="4" t="n">
        <v>20</v>
      </c>
      <c r="D109" s="4" t="n">
        <v>0</v>
      </c>
      <c r="E109" s="8" t="n">
        <v>0.9782</v>
      </c>
      <c r="F109" s="8" t="n">
        <v>0.9782</v>
      </c>
    </row>
    <row r="110" customFormat="false" ht="15" hidden="false" customHeight="false" outlineLevel="0" collapsed="false">
      <c r="A110" s="6" t="s">
        <v>16</v>
      </c>
      <c r="B110" s="4" t="s">
        <v>7</v>
      </c>
      <c r="C110" s="4" t="n">
        <v>20</v>
      </c>
      <c r="D110" s="4" t="n">
        <v>1</v>
      </c>
      <c r="E110" s="8" t="n">
        <v>0.9809</v>
      </c>
      <c r="F110" s="8" t="n">
        <v>0.9793</v>
      </c>
    </row>
    <row r="111" customFormat="false" ht="15" hidden="false" customHeight="false" outlineLevel="0" collapsed="false">
      <c r="A111" s="6" t="s">
        <v>16</v>
      </c>
      <c r="B111" s="4" t="s">
        <v>7</v>
      </c>
      <c r="C111" s="4" t="n">
        <v>20</v>
      </c>
      <c r="D111" s="4" t="n">
        <v>2</v>
      </c>
      <c r="E111" s="8" t="n">
        <v>0.9795</v>
      </c>
      <c r="F111" s="8" t="n">
        <v>0.9772</v>
      </c>
    </row>
    <row r="112" customFormat="false" ht="15" hidden="false" customHeight="false" outlineLevel="0" collapsed="false">
      <c r="A112" s="6" t="s">
        <v>16</v>
      </c>
      <c r="B112" s="1" t="s">
        <v>7</v>
      </c>
      <c r="C112" s="1" t="n">
        <v>20</v>
      </c>
      <c r="D112" s="1" t="s">
        <v>8</v>
      </c>
      <c r="E112" s="0" t="n">
        <f aca="false">AVERAGE(E109:E111)</f>
        <v>0.979533333333333</v>
      </c>
      <c r="F112" s="1" t="n">
        <f aca="false">AVERAGE(F109:F111)</f>
        <v>0.978233333333333</v>
      </c>
    </row>
    <row r="113" customFormat="false" ht="15" hidden="false" customHeight="false" outlineLevel="0" collapsed="false">
      <c r="A113" s="6" t="s">
        <v>16</v>
      </c>
      <c r="B113" s="1" t="s">
        <v>7</v>
      </c>
      <c r="C113" s="1" t="n">
        <v>40</v>
      </c>
      <c r="D113" s="1" t="n">
        <v>0</v>
      </c>
      <c r="E113" s="8" t="n">
        <v>0.9727</v>
      </c>
      <c r="F113" s="8" t="n">
        <v>0.9767</v>
      </c>
    </row>
    <row r="114" customFormat="false" ht="15" hidden="false" customHeight="false" outlineLevel="0" collapsed="false">
      <c r="A114" s="6" t="s">
        <v>16</v>
      </c>
      <c r="B114" s="1" t="s">
        <v>7</v>
      </c>
      <c r="C114" s="1" t="n">
        <v>40</v>
      </c>
      <c r="D114" s="1" t="n">
        <v>1</v>
      </c>
      <c r="E114" s="8" t="n">
        <v>0.9809</v>
      </c>
      <c r="F114" s="8" t="n">
        <v>0.9839</v>
      </c>
    </row>
    <row r="115" customFormat="false" ht="15" hidden="false" customHeight="false" outlineLevel="0" collapsed="false">
      <c r="A115" s="6" t="s">
        <v>16</v>
      </c>
      <c r="B115" s="1" t="s">
        <v>7</v>
      </c>
      <c r="C115" s="1" t="n">
        <v>40</v>
      </c>
      <c r="D115" s="1" t="n">
        <v>2</v>
      </c>
      <c r="E115" s="8" t="n">
        <v>0.9877</v>
      </c>
      <c r="F115" s="8" t="n">
        <v>0.9891</v>
      </c>
    </row>
    <row r="116" customFormat="false" ht="15" hidden="false" customHeight="false" outlineLevel="0" collapsed="false">
      <c r="A116" s="6" t="s">
        <v>16</v>
      </c>
      <c r="B116" s="1" t="s">
        <v>7</v>
      </c>
      <c r="C116" s="1" t="n">
        <v>40</v>
      </c>
      <c r="D116" s="1" t="s">
        <v>8</v>
      </c>
      <c r="E116" s="1" t="n">
        <f aca="false">AVERAGE(E113:E115)</f>
        <v>0.980433333333333</v>
      </c>
      <c r="F116" s="1" t="n">
        <f aca="false">AVERAGE(F113:F115)</f>
        <v>0.983233333333333</v>
      </c>
    </row>
    <row r="117" customFormat="false" ht="15" hidden="false" customHeight="false" outlineLevel="0" collapsed="false">
      <c r="A117" s="6" t="s">
        <v>16</v>
      </c>
      <c r="B117" s="1" t="s">
        <v>7</v>
      </c>
      <c r="C117" s="1" t="n">
        <v>60</v>
      </c>
      <c r="D117" s="1" t="n">
        <v>0</v>
      </c>
      <c r="E117" s="8" t="n">
        <v>0.9795</v>
      </c>
      <c r="F117" s="8" t="n">
        <v>0.9808</v>
      </c>
    </row>
    <row r="118" customFormat="false" ht="15" hidden="false" customHeight="false" outlineLevel="0" collapsed="false">
      <c r="A118" s="6" t="s">
        <v>16</v>
      </c>
      <c r="B118" s="1" t="s">
        <v>7</v>
      </c>
      <c r="C118" s="1" t="n">
        <v>60</v>
      </c>
      <c r="D118" s="1" t="n">
        <v>1</v>
      </c>
      <c r="E118" s="8" t="n">
        <v>0.9768</v>
      </c>
      <c r="F118" s="8" t="n">
        <v>0.9798</v>
      </c>
    </row>
    <row r="119" customFormat="false" ht="15" hidden="false" customHeight="false" outlineLevel="0" collapsed="false">
      <c r="A119" s="6" t="s">
        <v>16</v>
      </c>
      <c r="B119" s="1" t="s">
        <v>7</v>
      </c>
      <c r="C119" s="1" t="n">
        <v>60</v>
      </c>
      <c r="D119" s="1" t="n">
        <v>2</v>
      </c>
      <c r="E119" s="8" t="n">
        <v>0.9795</v>
      </c>
      <c r="F119" s="8" t="n">
        <v>0.9833</v>
      </c>
    </row>
    <row r="120" customFormat="false" ht="15" hidden="false" customHeight="false" outlineLevel="0" collapsed="false">
      <c r="A120" s="6" t="s">
        <v>16</v>
      </c>
      <c r="B120" s="1" t="s">
        <v>7</v>
      </c>
      <c r="C120" s="1" t="n">
        <v>60</v>
      </c>
      <c r="D120" s="1" t="s">
        <v>8</v>
      </c>
      <c r="E120" s="1" t="n">
        <f aca="false">AVERAGE(E117:E119)</f>
        <v>0.9786</v>
      </c>
      <c r="F120" s="1" t="n">
        <f aca="false">AVERAGE(F117:F119)</f>
        <v>0.9813</v>
      </c>
    </row>
    <row r="122" customFormat="false" ht="15" hidden="false" customHeight="false" outlineLevel="0" collapsed="false">
      <c r="A122" s="6" t="s">
        <v>16</v>
      </c>
      <c r="B122" s="1" t="s">
        <v>9</v>
      </c>
      <c r="C122" s="4" t="n">
        <v>20</v>
      </c>
      <c r="D122" s="4" t="n">
        <v>0</v>
      </c>
      <c r="E122" s="8" t="n">
        <v>0.7858</v>
      </c>
      <c r="F122" s="8" t="n">
        <v>0.7093</v>
      </c>
    </row>
    <row r="123" customFormat="false" ht="15" hidden="false" customHeight="false" outlineLevel="0" collapsed="false">
      <c r="A123" s="6" t="s">
        <v>16</v>
      </c>
      <c r="B123" s="1" t="s">
        <v>9</v>
      </c>
      <c r="C123" s="4" t="n">
        <v>20</v>
      </c>
      <c r="D123" s="4" t="n">
        <v>1</v>
      </c>
      <c r="E123" s="8" t="n">
        <v>0.3424</v>
      </c>
      <c r="F123" s="8" t="n">
        <v>0.1502</v>
      </c>
    </row>
    <row r="124" customFormat="false" ht="15" hidden="false" customHeight="false" outlineLevel="0" collapsed="false">
      <c r="A124" s="6" t="s">
        <v>16</v>
      </c>
      <c r="B124" s="1" t="s">
        <v>9</v>
      </c>
      <c r="C124" s="4" t="n">
        <v>20</v>
      </c>
      <c r="D124" s="4" t="n">
        <v>2</v>
      </c>
      <c r="E124" s="8" t="n">
        <v>0.3465</v>
      </c>
      <c r="F124" s="8" t="n">
        <v>0.2217</v>
      </c>
    </row>
    <row r="125" customFormat="false" ht="15" hidden="false" customHeight="false" outlineLevel="0" collapsed="false">
      <c r="A125" s="6" t="s">
        <v>16</v>
      </c>
      <c r="B125" s="1" t="s">
        <v>9</v>
      </c>
      <c r="C125" s="1" t="n">
        <v>20</v>
      </c>
      <c r="D125" s="1" t="s">
        <v>8</v>
      </c>
      <c r="E125" s="1" t="n">
        <f aca="false">AVERAGE(E122)</f>
        <v>0.7858</v>
      </c>
      <c r="F125" s="1" t="n">
        <f aca="false">AVERAGE(F122)</f>
        <v>0.7093</v>
      </c>
    </row>
    <row r="126" customFormat="false" ht="15" hidden="false" customHeight="false" outlineLevel="0" collapsed="false">
      <c r="A126" s="6" t="s">
        <v>16</v>
      </c>
      <c r="B126" s="1" t="s">
        <v>9</v>
      </c>
      <c r="C126" s="1" t="n">
        <v>40</v>
      </c>
      <c r="D126" s="1" t="n">
        <v>0</v>
      </c>
      <c r="E126" s="8" t="n">
        <v>0.4652</v>
      </c>
      <c r="F126" s="8" t="n">
        <v>0.2588</v>
      </c>
    </row>
    <row r="127" customFormat="false" ht="15" hidden="false" customHeight="false" outlineLevel="0" collapsed="false">
      <c r="A127" s="6" t="s">
        <v>16</v>
      </c>
      <c r="B127" s="1" t="s">
        <v>9</v>
      </c>
      <c r="C127" s="1" t="n">
        <v>40</v>
      </c>
      <c r="D127" s="1" t="n">
        <v>1</v>
      </c>
      <c r="E127" s="8" t="n">
        <v>0.352</v>
      </c>
      <c r="F127" s="8" t="n">
        <v>0.2603</v>
      </c>
    </row>
    <row r="128" customFormat="false" ht="15" hidden="false" customHeight="false" outlineLevel="0" collapsed="false">
      <c r="A128" s="6" t="s">
        <v>16</v>
      </c>
      <c r="B128" s="1" t="s">
        <v>9</v>
      </c>
      <c r="C128" s="1" t="n">
        <v>40</v>
      </c>
      <c r="D128" s="1" t="n">
        <v>2</v>
      </c>
      <c r="E128" s="8" t="n">
        <v>0.4352</v>
      </c>
      <c r="F128" s="8" t="n">
        <v>0.2911</v>
      </c>
    </row>
    <row r="129" customFormat="false" ht="15" hidden="false" customHeight="false" outlineLevel="0" collapsed="false">
      <c r="A129" s="6" t="s">
        <v>16</v>
      </c>
      <c r="B129" s="1" t="s">
        <v>9</v>
      </c>
      <c r="C129" s="1" t="n">
        <v>40</v>
      </c>
      <c r="D129" s="1" t="s">
        <v>8</v>
      </c>
    </row>
    <row r="130" customFormat="false" ht="15" hidden="false" customHeight="false" outlineLevel="0" collapsed="false">
      <c r="A130" s="6" t="s">
        <v>16</v>
      </c>
      <c r="B130" s="1" t="s">
        <v>9</v>
      </c>
      <c r="C130" s="1" t="n">
        <v>60</v>
      </c>
      <c r="D130" s="1" t="n">
        <v>0</v>
      </c>
      <c r="E130" s="8" t="n">
        <v>0.528</v>
      </c>
      <c r="F130" s="8" t="n">
        <v>0.3371</v>
      </c>
    </row>
    <row r="131" customFormat="false" ht="15" hidden="false" customHeight="false" outlineLevel="0" collapsed="false">
      <c r="A131" s="6" t="s">
        <v>16</v>
      </c>
      <c r="B131" s="1" t="s">
        <v>9</v>
      </c>
      <c r="C131" s="1" t="n">
        <v>60</v>
      </c>
      <c r="D131" s="1" t="n">
        <v>1</v>
      </c>
      <c r="E131" s="8" t="n">
        <v>0.3124</v>
      </c>
      <c r="F131" s="8" t="n">
        <v>0.1648</v>
      </c>
    </row>
    <row r="132" customFormat="false" ht="15" hidden="false" customHeight="false" outlineLevel="0" collapsed="false">
      <c r="A132" s="6" t="s">
        <v>16</v>
      </c>
      <c r="B132" s="1" t="s">
        <v>9</v>
      </c>
      <c r="C132" s="1" t="n">
        <v>60</v>
      </c>
      <c r="D132" s="1" t="n">
        <v>2</v>
      </c>
      <c r="E132" s="8" t="n">
        <v>0.4557</v>
      </c>
      <c r="F132" s="8" t="n">
        <v>0.3217</v>
      </c>
    </row>
    <row r="133" customFormat="false" ht="15" hidden="false" customHeight="false" outlineLevel="0" collapsed="false">
      <c r="A133" s="6" t="s">
        <v>16</v>
      </c>
      <c r="B133" s="1" t="s">
        <v>9</v>
      </c>
      <c r="C133" s="1" t="n">
        <v>60</v>
      </c>
      <c r="D133" s="1" t="s">
        <v>8</v>
      </c>
    </row>
    <row r="134" customFormat="false" ht="15" hidden="false" customHeight="false" outlineLevel="0" collapsed="false">
      <c r="A134" s="6"/>
    </row>
    <row r="135" customFormat="false" ht="15" hidden="false" customHeight="false" outlineLevel="0" collapsed="false">
      <c r="A135" s="6" t="s">
        <v>16</v>
      </c>
      <c r="B135" s="1" t="s">
        <v>10</v>
      </c>
      <c r="C135" s="4" t="n">
        <v>20</v>
      </c>
      <c r="D135" s="4" t="n">
        <v>0</v>
      </c>
      <c r="E135" s="8" t="n">
        <v>0.9441</v>
      </c>
      <c r="F135" s="8" t="n">
        <v>0.932</v>
      </c>
    </row>
    <row r="136" customFormat="false" ht="15" hidden="false" customHeight="false" outlineLevel="0" collapsed="false">
      <c r="A136" s="6" t="s">
        <v>16</v>
      </c>
      <c r="B136" s="6" t="s">
        <v>10</v>
      </c>
      <c r="C136" s="4" t="n">
        <v>20</v>
      </c>
      <c r="D136" s="4" t="n">
        <v>1</v>
      </c>
      <c r="E136" s="8" t="n">
        <v>0.2892</v>
      </c>
      <c r="F136" s="8" t="n">
        <v>0.0561</v>
      </c>
    </row>
    <row r="137" customFormat="false" ht="15" hidden="false" customHeight="false" outlineLevel="0" collapsed="false">
      <c r="A137" s="6" t="s">
        <v>16</v>
      </c>
      <c r="B137" s="6" t="s">
        <v>10</v>
      </c>
      <c r="C137" s="4" t="n">
        <v>20</v>
      </c>
      <c r="D137" s="4" t="n">
        <v>2</v>
      </c>
      <c r="E137" s="8" t="n">
        <v>0.9591</v>
      </c>
      <c r="F137" s="8" t="n">
        <v>0.9546</v>
      </c>
    </row>
    <row r="138" customFormat="false" ht="15" hidden="false" customHeight="false" outlineLevel="0" collapsed="false">
      <c r="A138" s="6" t="s">
        <v>16</v>
      </c>
      <c r="B138" s="6" t="s">
        <v>10</v>
      </c>
      <c r="C138" s="1" t="n">
        <v>20</v>
      </c>
      <c r="D138" s="1" t="s">
        <v>8</v>
      </c>
      <c r="E138" s="1" t="n">
        <f aca="false">AVERAGE(E135,E137)</f>
        <v>0.9516</v>
      </c>
      <c r="F138" s="1" t="n">
        <f aca="false">AVERAGE(F135,F137)</f>
        <v>0.9433</v>
      </c>
    </row>
    <row r="139" customFormat="false" ht="15" hidden="false" customHeight="false" outlineLevel="0" collapsed="false">
      <c r="A139" s="6" t="s">
        <v>16</v>
      </c>
      <c r="B139" s="6" t="s">
        <v>10</v>
      </c>
      <c r="C139" s="1" t="n">
        <v>40</v>
      </c>
      <c r="D139" s="1" t="n">
        <v>0</v>
      </c>
      <c r="E139" s="8" t="n">
        <v>0.9768</v>
      </c>
      <c r="F139" s="8" t="n">
        <v>0.9737</v>
      </c>
    </row>
    <row r="140" customFormat="false" ht="15" hidden="false" customHeight="false" outlineLevel="0" collapsed="false">
      <c r="A140" s="6" t="s">
        <v>16</v>
      </c>
      <c r="B140" s="6" t="s">
        <v>10</v>
      </c>
      <c r="C140" s="1" t="n">
        <v>40</v>
      </c>
      <c r="D140" s="1" t="n">
        <v>1</v>
      </c>
      <c r="E140" s="8" t="n">
        <v>0.2892</v>
      </c>
      <c r="F140" s="8" t="n">
        <v>0.0561</v>
      </c>
    </row>
    <row r="141" customFormat="false" ht="15" hidden="false" customHeight="false" outlineLevel="0" collapsed="false">
      <c r="A141" s="6" t="s">
        <v>16</v>
      </c>
      <c r="B141" s="6" t="s">
        <v>10</v>
      </c>
      <c r="C141" s="1" t="n">
        <v>40</v>
      </c>
      <c r="D141" s="1" t="n">
        <v>2</v>
      </c>
      <c r="E141" s="8" t="n">
        <v>0.9741</v>
      </c>
      <c r="F141" s="8" t="n">
        <v>0.969</v>
      </c>
    </row>
    <row r="142" customFormat="false" ht="15" hidden="false" customHeight="false" outlineLevel="0" collapsed="false">
      <c r="A142" s="6" t="s">
        <v>16</v>
      </c>
      <c r="B142" s="6" t="s">
        <v>10</v>
      </c>
      <c r="C142" s="1" t="n">
        <v>40</v>
      </c>
      <c r="D142" s="1" t="s">
        <v>8</v>
      </c>
      <c r="E142" s="1" t="n">
        <f aca="false">AVERAGE(E139,E141)</f>
        <v>0.97545</v>
      </c>
      <c r="F142" s="1" t="n">
        <f aca="false">AVERAGE(F139,F141)</f>
        <v>0.97135</v>
      </c>
    </row>
    <row r="143" customFormat="false" ht="15" hidden="false" customHeight="false" outlineLevel="0" collapsed="false">
      <c r="A143" s="6" t="s">
        <v>16</v>
      </c>
      <c r="B143" s="6" t="s">
        <v>10</v>
      </c>
      <c r="C143" s="1" t="n">
        <v>60</v>
      </c>
      <c r="D143" s="1" t="n">
        <v>0</v>
      </c>
      <c r="E143" s="8" t="n">
        <v>0.9754</v>
      </c>
      <c r="F143" s="8" t="n">
        <v>0.9725</v>
      </c>
    </row>
    <row r="144" customFormat="false" ht="15" hidden="false" customHeight="false" outlineLevel="0" collapsed="false">
      <c r="A144" s="6" t="s">
        <v>16</v>
      </c>
      <c r="B144" s="6" t="s">
        <v>10</v>
      </c>
      <c r="C144" s="1" t="n">
        <v>60</v>
      </c>
      <c r="D144" s="1" t="n">
        <v>1</v>
      </c>
      <c r="E144" s="8" t="n">
        <v>0.9823</v>
      </c>
      <c r="F144" s="8" t="n">
        <v>0.9797</v>
      </c>
    </row>
    <row r="145" customFormat="false" ht="15" hidden="false" customHeight="false" outlineLevel="0" collapsed="false">
      <c r="A145" s="6" t="s">
        <v>16</v>
      </c>
      <c r="B145" s="6" t="s">
        <v>10</v>
      </c>
      <c r="C145" s="1" t="n">
        <v>60</v>
      </c>
      <c r="D145" s="1" t="n">
        <v>2</v>
      </c>
      <c r="E145" s="8" t="n">
        <v>0.9768</v>
      </c>
      <c r="F145" s="8" t="n">
        <v>0.9724</v>
      </c>
    </row>
    <row r="146" customFormat="false" ht="15" hidden="false" customHeight="false" outlineLevel="0" collapsed="false">
      <c r="A146" s="6" t="s">
        <v>16</v>
      </c>
      <c r="B146" s="6" t="s">
        <v>10</v>
      </c>
      <c r="C146" s="1" t="n">
        <v>60</v>
      </c>
      <c r="D146" s="1" t="s">
        <v>8</v>
      </c>
      <c r="E146" s="1" t="n">
        <f aca="false">AVERAGE(E143:E145)</f>
        <v>0.978166666666667</v>
      </c>
      <c r="F146" s="1" t="n">
        <f aca="false">AVERAGE(F143:F145)</f>
        <v>0.974866666666667</v>
      </c>
    </row>
    <row r="148" customFormat="false" ht="15" hidden="false" customHeight="false" outlineLevel="0" collapsed="false">
      <c r="A148" s="6" t="s">
        <v>16</v>
      </c>
      <c r="B148" s="1" t="s">
        <v>11</v>
      </c>
      <c r="C148" s="4" t="n">
        <v>20</v>
      </c>
      <c r="D148" s="4" t="n">
        <v>0</v>
      </c>
      <c r="E148" s="8" t="n">
        <v>0.9754</v>
      </c>
      <c r="F148" s="8" t="n">
        <v>0.9733</v>
      </c>
    </row>
    <row r="149" customFormat="false" ht="15" hidden="false" customHeight="false" outlineLevel="0" collapsed="false">
      <c r="A149" s="6" t="s">
        <v>16</v>
      </c>
      <c r="B149" s="6" t="s">
        <v>11</v>
      </c>
      <c r="C149" s="4" t="n">
        <v>20</v>
      </c>
      <c r="D149" s="4" t="n">
        <v>1</v>
      </c>
      <c r="E149" s="8" t="n">
        <v>0.9618</v>
      </c>
      <c r="F149" s="8" t="n">
        <v>0.9523</v>
      </c>
    </row>
    <row r="150" customFormat="false" ht="15" hidden="false" customHeight="false" outlineLevel="0" collapsed="false">
      <c r="A150" s="6" t="s">
        <v>16</v>
      </c>
      <c r="B150" s="1" t="s">
        <v>11</v>
      </c>
      <c r="C150" s="4" t="n">
        <v>20</v>
      </c>
      <c r="D150" s="4" t="n">
        <v>2</v>
      </c>
      <c r="E150" s="8" t="n">
        <v>0.9768</v>
      </c>
      <c r="F150" s="8" t="n">
        <v>0.9714</v>
      </c>
    </row>
    <row r="151" customFormat="false" ht="15" hidden="false" customHeight="false" outlineLevel="0" collapsed="false">
      <c r="A151" s="6" t="s">
        <v>16</v>
      </c>
      <c r="B151" s="6" t="s">
        <v>11</v>
      </c>
      <c r="C151" s="1" t="n">
        <v>20</v>
      </c>
      <c r="D151" s="1" t="s">
        <v>8</v>
      </c>
      <c r="E151" s="1" t="n">
        <f aca="false">AVERAGE(E148:E150)</f>
        <v>0.971333333333333</v>
      </c>
      <c r="F151" s="1" t="n">
        <f aca="false">AVERAGE(F148:F150)</f>
        <v>0.965666666666667</v>
      </c>
    </row>
    <row r="152" customFormat="false" ht="15" hidden="false" customHeight="false" outlineLevel="0" collapsed="false">
      <c r="A152" s="6" t="s">
        <v>16</v>
      </c>
      <c r="B152" s="1" t="s">
        <v>11</v>
      </c>
      <c r="C152" s="1" t="n">
        <v>40</v>
      </c>
      <c r="D152" s="1" t="n">
        <v>0</v>
      </c>
      <c r="E152" s="8" t="n">
        <v>0.9604</v>
      </c>
      <c r="F152" s="8" t="n">
        <v>0.9535</v>
      </c>
    </row>
    <row r="153" customFormat="false" ht="15" hidden="false" customHeight="false" outlineLevel="0" collapsed="false">
      <c r="A153" s="6" t="s">
        <v>16</v>
      </c>
      <c r="B153" s="6" t="s">
        <v>11</v>
      </c>
      <c r="C153" s="1" t="n">
        <v>40</v>
      </c>
      <c r="D153" s="1" t="n">
        <v>1</v>
      </c>
      <c r="E153" s="8" t="n">
        <v>0.9673</v>
      </c>
      <c r="F153" s="8" t="n">
        <v>0.9652</v>
      </c>
    </row>
    <row r="154" customFormat="false" ht="15" hidden="false" customHeight="false" outlineLevel="0" collapsed="false">
      <c r="A154" s="6" t="s">
        <v>16</v>
      </c>
      <c r="B154" s="1" t="s">
        <v>11</v>
      </c>
      <c r="C154" s="1" t="n">
        <v>40</v>
      </c>
      <c r="D154" s="1" t="n">
        <v>2</v>
      </c>
      <c r="E154" s="8" t="n">
        <v>0.9591</v>
      </c>
      <c r="F154" s="8" t="n">
        <v>0.9535</v>
      </c>
    </row>
    <row r="155" customFormat="false" ht="15" hidden="false" customHeight="false" outlineLevel="0" collapsed="false">
      <c r="A155" s="6" t="s">
        <v>16</v>
      </c>
      <c r="B155" s="6" t="s">
        <v>11</v>
      </c>
      <c r="C155" s="1" t="n">
        <v>40</v>
      </c>
      <c r="D155" s="1" t="s">
        <v>8</v>
      </c>
      <c r="E155" s="1" t="n">
        <f aca="false">AVERAGE(E152:E154)</f>
        <v>0.962266666666667</v>
      </c>
      <c r="F155" s="1" t="n">
        <f aca="false">AVERAGE(F152:F154)</f>
        <v>0.9574</v>
      </c>
    </row>
    <row r="156" customFormat="false" ht="15" hidden="false" customHeight="false" outlineLevel="0" collapsed="false">
      <c r="A156" s="6" t="s">
        <v>16</v>
      </c>
      <c r="B156" s="1" t="s">
        <v>11</v>
      </c>
      <c r="C156" s="1" t="n">
        <v>60</v>
      </c>
      <c r="D156" s="1" t="n">
        <v>0</v>
      </c>
      <c r="E156" s="8" t="n">
        <v>0.9604</v>
      </c>
      <c r="F156" s="8" t="n">
        <v>0.96</v>
      </c>
    </row>
    <row r="157" customFormat="false" ht="15" hidden="false" customHeight="false" outlineLevel="0" collapsed="false">
      <c r="A157" s="6" t="s">
        <v>16</v>
      </c>
      <c r="B157" s="6" t="s">
        <v>11</v>
      </c>
      <c r="C157" s="1" t="n">
        <v>60</v>
      </c>
      <c r="D157" s="1" t="n">
        <v>1</v>
      </c>
      <c r="E157" s="8" t="n">
        <v>0.9741</v>
      </c>
      <c r="F157" s="8" t="n">
        <v>0.9683</v>
      </c>
    </row>
    <row r="158" customFormat="false" ht="15" hidden="false" customHeight="false" outlineLevel="0" collapsed="false">
      <c r="A158" s="6" t="s">
        <v>16</v>
      </c>
      <c r="B158" s="1" t="s">
        <v>11</v>
      </c>
      <c r="C158" s="1" t="n">
        <v>60</v>
      </c>
      <c r="D158" s="1" t="n">
        <v>2</v>
      </c>
      <c r="E158" s="8" t="n">
        <v>0.9577</v>
      </c>
      <c r="F158" s="8" t="n">
        <v>0.9533</v>
      </c>
    </row>
    <row r="159" customFormat="false" ht="15" hidden="false" customHeight="false" outlineLevel="0" collapsed="false">
      <c r="A159" s="6" t="s">
        <v>16</v>
      </c>
      <c r="B159" s="6" t="s">
        <v>11</v>
      </c>
      <c r="C159" s="1" t="n">
        <v>60</v>
      </c>
      <c r="D159" s="1" t="s">
        <v>8</v>
      </c>
      <c r="E159" s="1" t="n">
        <f aca="false">AVERAGE(E156:E158)</f>
        <v>0.964066666666667</v>
      </c>
      <c r="F159" s="1" t="n">
        <f aca="false">AVERAGE(F156:F158)</f>
        <v>0.960533333333333</v>
      </c>
    </row>
    <row r="160" customFormat="false" ht="15" hidden="false" customHeight="false" outlineLevel="0" collapsed="false">
      <c r="A160" s="6"/>
    </row>
    <row r="161" customFormat="false" ht="15" hidden="false" customHeight="false" outlineLevel="0" collapsed="false">
      <c r="A161" s="6" t="s">
        <v>16</v>
      </c>
      <c r="B161" s="6" t="s">
        <v>12</v>
      </c>
      <c r="C161" s="4" t="n">
        <v>20</v>
      </c>
      <c r="D161" s="4" t="n">
        <v>0</v>
      </c>
      <c r="E161" s="8" t="n">
        <v>0.9768</v>
      </c>
      <c r="F161" s="8" t="n">
        <v>0.9732</v>
      </c>
    </row>
    <row r="162" customFormat="false" ht="15" hidden="false" customHeight="false" outlineLevel="0" collapsed="false">
      <c r="A162" s="6" t="s">
        <v>16</v>
      </c>
      <c r="B162" s="6" t="s">
        <v>12</v>
      </c>
      <c r="C162" s="4" t="n">
        <v>20</v>
      </c>
      <c r="D162" s="4" t="n">
        <v>1</v>
      </c>
      <c r="E162" s="8" t="n">
        <v>0.9768</v>
      </c>
      <c r="F162" s="8" t="n">
        <v>0.9757</v>
      </c>
    </row>
    <row r="163" customFormat="false" ht="15" hidden="false" customHeight="false" outlineLevel="0" collapsed="false">
      <c r="A163" s="6" t="s">
        <v>16</v>
      </c>
      <c r="B163" s="6" t="s">
        <v>12</v>
      </c>
      <c r="C163" s="4" t="n">
        <v>20</v>
      </c>
      <c r="D163" s="4" t="n">
        <v>2</v>
      </c>
      <c r="E163" s="8" t="n">
        <v>0.9673</v>
      </c>
      <c r="F163" s="8" t="n">
        <v>0.9565</v>
      </c>
    </row>
    <row r="164" customFormat="false" ht="15" hidden="false" customHeight="false" outlineLevel="0" collapsed="false">
      <c r="A164" s="6" t="s">
        <v>16</v>
      </c>
      <c r="B164" s="6" t="s">
        <v>12</v>
      </c>
      <c r="C164" s="1" t="n">
        <v>20</v>
      </c>
      <c r="D164" s="1" t="s">
        <v>8</v>
      </c>
      <c r="E164" s="1" t="n">
        <f aca="false">AVERAGE(E161:E163)</f>
        <v>0.973633333333333</v>
      </c>
      <c r="F164" s="1" t="n">
        <f aca="false">AVERAGE(F161:F163)</f>
        <v>0.968466666666667</v>
      </c>
    </row>
    <row r="165" customFormat="false" ht="15" hidden="false" customHeight="false" outlineLevel="0" collapsed="false">
      <c r="A165" s="6" t="s">
        <v>16</v>
      </c>
      <c r="B165" s="6" t="s">
        <v>12</v>
      </c>
      <c r="C165" s="1" t="n">
        <v>40</v>
      </c>
      <c r="D165" s="1" t="n">
        <v>0</v>
      </c>
      <c r="E165" s="8" t="n">
        <v>0.9727</v>
      </c>
      <c r="F165" s="8" t="n">
        <v>0.9685</v>
      </c>
    </row>
    <row r="166" customFormat="false" ht="15" hidden="false" customHeight="false" outlineLevel="0" collapsed="false">
      <c r="A166" s="6" t="s">
        <v>16</v>
      </c>
      <c r="B166" s="6" t="s">
        <v>12</v>
      </c>
      <c r="C166" s="1" t="n">
        <v>40</v>
      </c>
      <c r="D166" s="1" t="n">
        <v>1</v>
      </c>
      <c r="E166" s="8" t="n">
        <v>0.9782</v>
      </c>
      <c r="F166" s="8" t="n">
        <v>0.9744</v>
      </c>
    </row>
    <row r="167" customFormat="false" ht="15" hidden="false" customHeight="false" outlineLevel="0" collapsed="false">
      <c r="A167" s="6" t="s">
        <v>16</v>
      </c>
      <c r="B167" s="6" t="s">
        <v>12</v>
      </c>
      <c r="C167" s="1" t="n">
        <v>40</v>
      </c>
      <c r="D167" s="1" t="n">
        <v>2</v>
      </c>
      <c r="E167" s="8" t="n">
        <v>0.9823</v>
      </c>
      <c r="F167" s="8" t="n">
        <v>0.9783</v>
      </c>
    </row>
    <row r="168" customFormat="false" ht="15" hidden="false" customHeight="false" outlineLevel="0" collapsed="false">
      <c r="A168" s="6" t="s">
        <v>16</v>
      </c>
      <c r="B168" s="6" t="s">
        <v>12</v>
      </c>
      <c r="C168" s="1" t="n">
        <v>40</v>
      </c>
      <c r="D168" s="1" t="s">
        <v>8</v>
      </c>
      <c r="E168" s="1" t="n">
        <f aca="false">AVERAGE(E164:E167)</f>
        <v>0.976708333333333</v>
      </c>
      <c r="F168" s="1" t="n">
        <f aca="false">AVERAGE(F165:F167)</f>
        <v>0.973733333333333</v>
      </c>
    </row>
    <row r="169" customFormat="false" ht="15" hidden="false" customHeight="false" outlineLevel="0" collapsed="false">
      <c r="A169" s="6" t="s">
        <v>16</v>
      </c>
      <c r="B169" s="6" t="s">
        <v>12</v>
      </c>
      <c r="C169" s="1" t="n">
        <v>60</v>
      </c>
      <c r="D169" s="1" t="n">
        <v>0</v>
      </c>
      <c r="E169" s="8" t="n">
        <v>0.9659</v>
      </c>
      <c r="F169" s="8" t="n">
        <v>0.9609</v>
      </c>
    </row>
    <row r="170" customFormat="false" ht="15" hidden="false" customHeight="false" outlineLevel="0" collapsed="false">
      <c r="A170" s="6" t="s">
        <v>16</v>
      </c>
      <c r="B170" s="6" t="s">
        <v>12</v>
      </c>
      <c r="C170" s="1" t="n">
        <v>60</v>
      </c>
      <c r="D170" s="1" t="n">
        <v>1</v>
      </c>
      <c r="E170" s="8" t="n">
        <v>0.9618</v>
      </c>
      <c r="F170" s="8" t="n">
        <v>0.955</v>
      </c>
    </row>
    <row r="171" customFormat="false" ht="15" hidden="false" customHeight="false" outlineLevel="0" collapsed="false">
      <c r="A171" s="6" t="s">
        <v>16</v>
      </c>
      <c r="B171" s="6" t="s">
        <v>12</v>
      </c>
      <c r="C171" s="1" t="n">
        <v>60</v>
      </c>
      <c r="D171" s="1" t="n">
        <v>2</v>
      </c>
      <c r="E171" s="8" t="n">
        <v>0.9795</v>
      </c>
      <c r="F171" s="8" t="n">
        <v>0.9691</v>
      </c>
    </row>
    <row r="172" customFormat="false" ht="15" hidden="false" customHeight="false" outlineLevel="0" collapsed="false">
      <c r="A172" s="6" t="s">
        <v>16</v>
      </c>
      <c r="B172" s="6" t="s">
        <v>12</v>
      </c>
      <c r="C172" s="1" t="n">
        <v>60</v>
      </c>
      <c r="D172" s="1" t="s">
        <v>8</v>
      </c>
      <c r="E172" s="1" t="n">
        <f aca="false">AVERAGE(E169:E171)</f>
        <v>0.969066666666667</v>
      </c>
      <c r="F172" s="1" t="n">
        <f aca="false">AVERAGE(F169:F171)</f>
        <v>0.961666666666667</v>
      </c>
    </row>
    <row r="173" customFormat="false" ht="15" hidden="false" customHeight="false" outlineLevel="0" collapsed="false">
      <c r="A173" s="6"/>
    </row>
    <row r="174" customFormat="false" ht="15" hidden="false" customHeight="false" outlineLevel="0" collapsed="false">
      <c r="A174" s="6" t="s">
        <v>16</v>
      </c>
      <c r="B174" s="6" t="s">
        <v>13</v>
      </c>
      <c r="C174" s="4" t="n">
        <v>20</v>
      </c>
      <c r="D174" s="4" t="n">
        <v>0</v>
      </c>
      <c r="E174" s="8" t="n">
        <v>0.9673</v>
      </c>
      <c r="F174" s="8" t="n">
        <v>0.9633</v>
      </c>
    </row>
    <row r="175" customFormat="false" ht="15" hidden="false" customHeight="false" outlineLevel="0" collapsed="false">
      <c r="A175" s="6" t="s">
        <v>16</v>
      </c>
      <c r="B175" s="6" t="s">
        <v>13</v>
      </c>
      <c r="C175" s="4" t="n">
        <v>20</v>
      </c>
      <c r="D175" s="4" t="n">
        <v>1</v>
      </c>
      <c r="E175" s="8" t="n">
        <v>0.955</v>
      </c>
      <c r="F175" s="8" t="n">
        <v>0.9509</v>
      </c>
    </row>
    <row r="176" customFormat="false" ht="15" hidden="false" customHeight="false" outlineLevel="0" collapsed="false">
      <c r="A176" s="6" t="s">
        <v>16</v>
      </c>
      <c r="B176" s="6" t="s">
        <v>13</v>
      </c>
      <c r="C176" s="4" t="n">
        <v>20</v>
      </c>
      <c r="D176" s="4" t="n">
        <v>2</v>
      </c>
      <c r="E176" s="8" t="n">
        <v>0.9659</v>
      </c>
      <c r="F176" s="8" t="n">
        <v>0.9544</v>
      </c>
    </row>
    <row r="177" customFormat="false" ht="15" hidden="false" customHeight="false" outlineLevel="0" collapsed="false">
      <c r="A177" s="6" t="s">
        <v>16</v>
      </c>
      <c r="B177" s="6" t="s">
        <v>13</v>
      </c>
      <c r="C177" s="1" t="n">
        <v>20</v>
      </c>
      <c r="D177" s="1" t="s">
        <v>8</v>
      </c>
      <c r="E177" s="1" t="n">
        <f aca="false">AVERAGE(E174:E176)</f>
        <v>0.962733333333333</v>
      </c>
      <c r="F177" s="1" t="n">
        <f aca="false">AVERAGE(F174:F176)</f>
        <v>0.9562</v>
      </c>
    </row>
    <row r="178" customFormat="false" ht="15" hidden="false" customHeight="false" outlineLevel="0" collapsed="false">
      <c r="A178" s="6" t="s">
        <v>16</v>
      </c>
      <c r="B178" s="6" t="s">
        <v>13</v>
      </c>
      <c r="C178" s="1" t="n">
        <v>40</v>
      </c>
      <c r="D178" s="1" t="n">
        <v>0</v>
      </c>
      <c r="E178" s="8" t="n">
        <v>0.9782</v>
      </c>
      <c r="F178" s="8" t="n">
        <v>0.9716</v>
      </c>
    </row>
    <row r="179" customFormat="false" ht="15" hidden="false" customHeight="false" outlineLevel="0" collapsed="false">
      <c r="A179" s="6" t="s">
        <v>16</v>
      </c>
      <c r="B179" s="6" t="s">
        <v>13</v>
      </c>
      <c r="C179" s="1" t="n">
        <v>40</v>
      </c>
      <c r="D179" s="1" t="n">
        <v>1</v>
      </c>
      <c r="E179" s="8" t="n">
        <v>0.9741</v>
      </c>
      <c r="F179" s="8" t="n">
        <v>0.9659</v>
      </c>
    </row>
    <row r="180" customFormat="false" ht="15" hidden="false" customHeight="false" outlineLevel="0" collapsed="false">
      <c r="A180" s="6" t="s">
        <v>16</v>
      </c>
      <c r="B180" s="6" t="s">
        <v>13</v>
      </c>
      <c r="C180" s="1" t="n">
        <v>40</v>
      </c>
      <c r="D180" s="1" t="n">
        <v>2</v>
      </c>
      <c r="E180" s="8" t="n">
        <v>0.9727</v>
      </c>
      <c r="F180" s="8" t="n">
        <v>0.9665</v>
      </c>
    </row>
    <row r="181" customFormat="false" ht="15" hidden="false" customHeight="false" outlineLevel="0" collapsed="false">
      <c r="A181" s="6" t="s">
        <v>16</v>
      </c>
      <c r="B181" s="6" t="s">
        <v>13</v>
      </c>
      <c r="C181" s="1" t="n">
        <v>40</v>
      </c>
      <c r="D181" s="1" t="s">
        <v>8</v>
      </c>
      <c r="E181" s="1" t="n">
        <f aca="false">AVERAGE(E178:E180)</f>
        <v>0.975</v>
      </c>
      <c r="F181" s="1" t="n">
        <f aca="false">AVERAGE(F178:F180)</f>
        <v>0.968</v>
      </c>
    </row>
    <row r="182" customFormat="false" ht="15" hidden="false" customHeight="false" outlineLevel="0" collapsed="false">
      <c r="A182" s="6" t="s">
        <v>16</v>
      </c>
      <c r="B182" s="6" t="s">
        <v>13</v>
      </c>
      <c r="C182" s="1" t="n">
        <v>60</v>
      </c>
      <c r="D182" s="1" t="n">
        <v>0</v>
      </c>
      <c r="E182" s="8" t="n">
        <v>0.9741</v>
      </c>
      <c r="F182" s="8" t="n">
        <v>0.9711</v>
      </c>
    </row>
    <row r="183" customFormat="false" ht="15" hidden="false" customHeight="false" outlineLevel="0" collapsed="false">
      <c r="A183" s="6" t="s">
        <v>16</v>
      </c>
      <c r="B183" s="6" t="s">
        <v>13</v>
      </c>
      <c r="C183" s="1" t="n">
        <v>60</v>
      </c>
      <c r="D183" s="1" t="n">
        <v>1</v>
      </c>
      <c r="E183" s="8" t="n">
        <v>0.9714</v>
      </c>
      <c r="F183" s="8" t="n">
        <v>0.9692</v>
      </c>
    </row>
    <row r="184" customFormat="false" ht="15" hidden="false" customHeight="false" outlineLevel="0" collapsed="false">
      <c r="A184" s="6" t="s">
        <v>16</v>
      </c>
      <c r="B184" s="6" t="s">
        <v>13</v>
      </c>
      <c r="C184" s="1" t="n">
        <v>60</v>
      </c>
      <c r="D184" s="1" t="n">
        <v>2</v>
      </c>
      <c r="E184" s="8" t="n">
        <v>0.9577</v>
      </c>
      <c r="F184" s="8" t="n">
        <v>0.956</v>
      </c>
    </row>
    <row r="185" customFormat="false" ht="15" hidden="false" customHeight="false" outlineLevel="0" collapsed="false">
      <c r="A185" s="6" t="s">
        <v>16</v>
      </c>
      <c r="B185" s="6" t="s">
        <v>13</v>
      </c>
      <c r="C185" s="1" t="n">
        <v>60</v>
      </c>
      <c r="D185" s="1" t="s">
        <v>8</v>
      </c>
      <c r="E185" s="1" t="n">
        <f aca="false">AVERAGE(E182:E184)</f>
        <v>0.967733333333333</v>
      </c>
      <c r="F185" s="1" t="n">
        <f aca="false">AVERAGE(F182:F184)</f>
        <v>0.965433333333333</v>
      </c>
    </row>
    <row r="186" customFormat="false" ht="15" hidden="false" customHeight="false" outlineLevel="0" collapsed="false">
      <c r="A186" s="6"/>
      <c r="F186" s="0"/>
    </row>
    <row r="187" customFormat="false" ht="15" hidden="false" customHeight="false" outlineLevel="0" collapsed="false">
      <c r="A187" s="6" t="s">
        <v>16</v>
      </c>
      <c r="B187" s="1" t="s">
        <v>14</v>
      </c>
      <c r="C187" s="4" t="n">
        <v>20</v>
      </c>
      <c r="D187" s="4" t="n">
        <v>0</v>
      </c>
      <c r="E187" s="8" t="n">
        <v>0.9659</v>
      </c>
      <c r="F187" s="8" t="n">
        <v>0.9615</v>
      </c>
    </row>
    <row r="188" customFormat="false" ht="15" hidden="false" customHeight="false" outlineLevel="0" collapsed="false">
      <c r="A188" s="6" t="s">
        <v>16</v>
      </c>
      <c r="B188" s="1" t="s">
        <v>14</v>
      </c>
      <c r="C188" s="4" t="n">
        <v>20</v>
      </c>
      <c r="D188" s="4" t="n">
        <v>1</v>
      </c>
      <c r="E188" s="8" t="n">
        <v>0.9604</v>
      </c>
      <c r="F188" s="8" t="n">
        <v>0.9539</v>
      </c>
    </row>
    <row r="189" customFormat="false" ht="15" hidden="false" customHeight="false" outlineLevel="0" collapsed="false">
      <c r="A189" s="6" t="s">
        <v>16</v>
      </c>
      <c r="B189" s="1" t="s">
        <v>14</v>
      </c>
      <c r="C189" s="4" t="n">
        <v>20</v>
      </c>
      <c r="D189" s="4" t="n">
        <v>2</v>
      </c>
      <c r="E189" s="8" t="n">
        <v>0.9727</v>
      </c>
      <c r="F189" s="8" t="n">
        <v>0.9657</v>
      </c>
    </row>
    <row r="190" customFormat="false" ht="15" hidden="false" customHeight="false" outlineLevel="0" collapsed="false">
      <c r="A190" s="6" t="s">
        <v>16</v>
      </c>
      <c r="B190" s="1" t="s">
        <v>14</v>
      </c>
      <c r="C190" s="1" t="n">
        <v>20</v>
      </c>
      <c r="D190" s="1" t="s">
        <v>8</v>
      </c>
      <c r="E190" s="1" t="n">
        <f aca="false">AVERAGE(E187:E189)</f>
        <v>0.966333333333333</v>
      </c>
      <c r="F190" s="1" t="n">
        <f aca="false">AVERAGE(F187:F189)</f>
        <v>0.960366666666667</v>
      </c>
    </row>
    <row r="191" customFormat="false" ht="15" hidden="false" customHeight="false" outlineLevel="0" collapsed="false">
      <c r="A191" s="6" t="s">
        <v>16</v>
      </c>
      <c r="B191" s="1" t="s">
        <v>14</v>
      </c>
      <c r="C191" s="1" t="n">
        <v>40</v>
      </c>
      <c r="D191" s="1" t="n">
        <v>0</v>
      </c>
      <c r="E191" s="8" t="n">
        <v>0.9741</v>
      </c>
      <c r="F191" s="8" t="n">
        <v>0.9721</v>
      </c>
    </row>
    <row r="192" customFormat="false" ht="15" hidden="false" customHeight="false" outlineLevel="0" collapsed="false">
      <c r="A192" s="6" t="s">
        <v>16</v>
      </c>
      <c r="B192" s="1" t="s">
        <v>14</v>
      </c>
      <c r="C192" s="1" t="n">
        <v>40</v>
      </c>
      <c r="D192" s="1" t="n">
        <v>1</v>
      </c>
      <c r="E192" s="8" t="n">
        <v>0.9673</v>
      </c>
      <c r="F192" s="8" t="n">
        <v>0.9637</v>
      </c>
    </row>
    <row r="193" customFormat="false" ht="15" hidden="false" customHeight="false" outlineLevel="0" collapsed="false">
      <c r="A193" s="6" t="s">
        <v>16</v>
      </c>
      <c r="B193" s="1" t="s">
        <v>14</v>
      </c>
      <c r="C193" s="1" t="n">
        <v>40</v>
      </c>
      <c r="D193" s="1" t="n">
        <v>2</v>
      </c>
      <c r="E193" s="8" t="n">
        <v>0.9714</v>
      </c>
      <c r="F193" s="8" t="n">
        <v>0.9622</v>
      </c>
    </row>
    <row r="194" customFormat="false" ht="15" hidden="false" customHeight="false" outlineLevel="0" collapsed="false">
      <c r="A194" s="6" t="s">
        <v>16</v>
      </c>
      <c r="B194" s="1" t="s">
        <v>14</v>
      </c>
      <c r="C194" s="1" t="n">
        <v>40</v>
      </c>
      <c r="D194" s="1" t="s">
        <v>8</v>
      </c>
      <c r="E194" s="1" t="n">
        <f aca="false">AVERAGE(E191:E193)</f>
        <v>0.970933333333333</v>
      </c>
      <c r="F194" s="1" t="n">
        <f aca="false">AVERAGE(F191:F193)</f>
        <v>0.966</v>
      </c>
    </row>
    <row r="195" customFormat="false" ht="15" hidden="false" customHeight="false" outlineLevel="0" collapsed="false">
      <c r="A195" s="6" t="s">
        <v>16</v>
      </c>
      <c r="B195" s="1" t="s">
        <v>14</v>
      </c>
      <c r="C195" s="1" t="n">
        <v>60</v>
      </c>
      <c r="D195" s="1" t="n">
        <v>0</v>
      </c>
      <c r="E195" s="8" t="n">
        <v>0.9782</v>
      </c>
      <c r="F195" s="8" t="n">
        <v>0.9738</v>
      </c>
    </row>
    <row r="196" customFormat="false" ht="15" hidden="false" customHeight="false" outlineLevel="0" collapsed="false">
      <c r="A196" s="6" t="s">
        <v>16</v>
      </c>
      <c r="B196" s="1" t="s">
        <v>14</v>
      </c>
      <c r="C196" s="1" t="n">
        <v>60</v>
      </c>
      <c r="D196" s="1" t="n">
        <v>1</v>
      </c>
      <c r="E196" s="8" t="n">
        <v>0.9659</v>
      </c>
      <c r="F196" s="8" t="n">
        <v>0.9609</v>
      </c>
    </row>
    <row r="197" customFormat="false" ht="15" hidden="false" customHeight="false" outlineLevel="0" collapsed="false">
      <c r="A197" s="6" t="s">
        <v>16</v>
      </c>
      <c r="B197" s="1" t="s">
        <v>14</v>
      </c>
      <c r="C197" s="1" t="n">
        <v>60</v>
      </c>
      <c r="D197" s="1" t="n">
        <v>2</v>
      </c>
      <c r="E197" s="8" t="n">
        <v>0.97</v>
      </c>
      <c r="F197" s="8" t="n">
        <v>0.9649</v>
      </c>
    </row>
    <row r="198" customFormat="false" ht="15" hidden="false" customHeight="false" outlineLevel="0" collapsed="false">
      <c r="A198" s="6" t="s">
        <v>16</v>
      </c>
      <c r="B198" s="1" t="s">
        <v>14</v>
      </c>
      <c r="C198" s="1" t="n">
        <v>60</v>
      </c>
      <c r="D198" s="1" t="s">
        <v>8</v>
      </c>
      <c r="E198" s="1" t="n">
        <f aca="false">AVERAGE(E195:E197)</f>
        <v>0.971366666666667</v>
      </c>
      <c r="F198" s="1" t="n">
        <f aca="false">AVERAGE(F195:F197)</f>
        <v>0.966533333333333</v>
      </c>
    </row>
    <row r="199" customFormat="false" ht="15" hidden="false" customHeight="false" outlineLevel="0" collapsed="false">
      <c r="A199" s="6"/>
      <c r="E199" s="0"/>
      <c r="F199" s="0"/>
    </row>
    <row r="200" customFormat="false" ht="15" hidden="false" customHeight="false" outlineLevel="0" collapsed="false">
      <c r="A200" s="6" t="s">
        <v>16</v>
      </c>
      <c r="B200" s="1" t="s">
        <v>15</v>
      </c>
      <c r="C200" s="4" t="n">
        <v>20</v>
      </c>
      <c r="D200" s="4" t="n">
        <v>0</v>
      </c>
      <c r="E200" s="8" t="n">
        <v>0.9468</v>
      </c>
      <c r="F200" s="8" t="n">
        <v>0.9361</v>
      </c>
    </row>
    <row r="201" customFormat="false" ht="15" hidden="false" customHeight="false" outlineLevel="0" collapsed="false">
      <c r="A201" s="6" t="s">
        <v>16</v>
      </c>
      <c r="B201" s="1" t="s">
        <v>15</v>
      </c>
      <c r="C201" s="4" t="n">
        <v>20</v>
      </c>
      <c r="D201" s="4" t="n">
        <v>1</v>
      </c>
      <c r="E201" s="8" t="n">
        <v>0.9563</v>
      </c>
      <c r="F201" s="8" t="n">
        <v>0.9421</v>
      </c>
    </row>
    <row r="202" customFormat="false" ht="15" hidden="false" customHeight="false" outlineLevel="0" collapsed="false">
      <c r="A202" s="6" t="s">
        <v>16</v>
      </c>
      <c r="B202" s="1" t="s">
        <v>15</v>
      </c>
      <c r="C202" s="4" t="n">
        <v>20</v>
      </c>
      <c r="D202" s="4" t="n">
        <v>2</v>
      </c>
      <c r="E202" s="8" t="n">
        <v>0.9536</v>
      </c>
      <c r="F202" s="8" t="n">
        <v>0.9409</v>
      </c>
    </row>
    <row r="203" customFormat="false" ht="15" hidden="false" customHeight="false" outlineLevel="0" collapsed="false">
      <c r="A203" s="6" t="s">
        <v>16</v>
      </c>
      <c r="B203" s="1" t="s">
        <v>15</v>
      </c>
      <c r="C203" s="1" t="n">
        <v>20</v>
      </c>
      <c r="D203" s="1" t="s">
        <v>8</v>
      </c>
      <c r="E203" s="0" t="n">
        <f aca="false">AVERAGE(E200:E202)</f>
        <v>0.952233333333333</v>
      </c>
      <c r="F203" s="0" t="n">
        <f aca="false">AVERAGE(F200:F202)</f>
        <v>0.9397</v>
      </c>
    </row>
    <row r="204" customFormat="false" ht="15" hidden="false" customHeight="false" outlineLevel="0" collapsed="false">
      <c r="A204" s="6" t="s">
        <v>16</v>
      </c>
      <c r="B204" s="1" t="s">
        <v>15</v>
      </c>
      <c r="C204" s="1" t="n">
        <v>40</v>
      </c>
      <c r="D204" s="1" t="n">
        <v>0</v>
      </c>
      <c r="E204" s="8" t="n">
        <v>0.9795</v>
      </c>
      <c r="F204" s="8" t="n">
        <v>0.9743</v>
      </c>
    </row>
    <row r="205" customFormat="false" ht="15" hidden="false" customHeight="false" outlineLevel="0" collapsed="false">
      <c r="A205" s="6" t="s">
        <v>16</v>
      </c>
      <c r="B205" s="1" t="s">
        <v>15</v>
      </c>
      <c r="C205" s="1" t="n">
        <v>40</v>
      </c>
      <c r="D205" s="1" t="n">
        <v>1</v>
      </c>
      <c r="E205" s="8" t="n">
        <v>0.9741</v>
      </c>
      <c r="F205" s="8" t="n">
        <v>0.9694</v>
      </c>
    </row>
    <row r="206" customFormat="false" ht="15" hidden="false" customHeight="false" outlineLevel="0" collapsed="false">
      <c r="A206" s="6" t="s">
        <v>16</v>
      </c>
      <c r="B206" s="1" t="s">
        <v>15</v>
      </c>
      <c r="C206" s="1" t="n">
        <v>40</v>
      </c>
      <c r="D206" s="1" t="n">
        <v>2</v>
      </c>
      <c r="E206" s="8" t="n">
        <v>0.9632</v>
      </c>
      <c r="F206" s="8" t="n">
        <v>0.9582</v>
      </c>
    </row>
    <row r="207" customFormat="false" ht="15" hidden="false" customHeight="false" outlineLevel="0" collapsed="false">
      <c r="A207" s="6" t="s">
        <v>16</v>
      </c>
      <c r="B207" s="1" t="s">
        <v>15</v>
      </c>
      <c r="C207" s="1" t="n">
        <v>40</v>
      </c>
      <c r="D207" s="1" t="s">
        <v>8</v>
      </c>
      <c r="E207" s="1" t="n">
        <f aca="false">AVERAGE(E204:E206)</f>
        <v>0.972266666666667</v>
      </c>
      <c r="F207" s="1" t="n">
        <f aca="false">AVERAGE(F204:F206)</f>
        <v>0.9673</v>
      </c>
    </row>
    <row r="208" customFormat="false" ht="15" hidden="false" customHeight="false" outlineLevel="0" collapsed="false">
      <c r="A208" s="6" t="s">
        <v>16</v>
      </c>
      <c r="B208" s="1" t="s">
        <v>15</v>
      </c>
      <c r="C208" s="1" t="n">
        <v>60</v>
      </c>
      <c r="D208" s="1" t="n">
        <v>0</v>
      </c>
      <c r="E208" s="8" t="n">
        <v>0.9536</v>
      </c>
      <c r="F208" s="8" t="n">
        <v>0.9425</v>
      </c>
    </row>
    <row r="209" customFormat="false" ht="15" hidden="false" customHeight="false" outlineLevel="0" collapsed="false">
      <c r="A209" s="6" t="s">
        <v>16</v>
      </c>
      <c r="B209" s="1" t="s">
        <v>15</v>
      </c>
      <c r="C209" s="1" t="n">
        <v>60</v>
      </c>
      <c r="D209" s="1" t="n">
        <v>1</v>
      </c>
      <c r="E209" s="8" t="n">
        <v>0.9714</v>
      </c>
      <c r="F209" s="8" t="n">
        <v>0.9681</v>
      </c>
    </row>
    <row r="210" customFormat="false" ht="15" hidden="false" customHeight="false" outlineLevel="0" collapsed="false">
      <c r="A210" s="6" t="s">
        <v>16</v>
      </c>
      <c r="B210" s="1" t="s">
        <v>15</v>
      </c>
      <c r="C210" s="1" t="n">
        <v>60</v>
      </c>
      <c r="D210" s="1" t="n">
        <v>2</v>
      </c>
      <c r="E210" s="8" t="n">
        <v>0.9604</v>
      </c>
      <c r="F210" s="8" t="n">
        <v>0.9537</v>
      </c>
    </row>
    <row r="211" customFormat="false" ht="15" hidden="false" customHeight="false" outlineLevel="0" collapsed="false">
      <c r="A211" s="6" t="s">
        <v>16</v>
      </c>
      <c r="B211" s="1" t="s">
        <v>15</v>
      </c>
      <c r="C211" s="1" t="n">
        <v>60</v>
      </c>
      <c r="D211" s="1" t="s">
        <v>8</v>
      </c>
      <c r="E211" s="1" t="n">
        <f aca="false">AVERAGE(E208:E210)</f>
        <v>0.9618</v>
      </c>
      <c r="F211" s="1" t="n">
        <f aca="false">AVERAGE(F208:F210)</f>
        <v>0.954766666666667</v>
      </c>
    </row>
    <row r="215" customFormat="false" ht="15" hidden="false" customHeight="false" outlineLevel="0" collapsed="false">
      <c r="B215" s="1" t="s">
        <v>17</v>
      </c>
      <c r="C215" s="1" t="n">
        <f aca="false">_xlfn.MAXIFS(E:E, B:B, "resnet", A:A, "MEL", D:D, "AVG")</f>
        <v>0.974066666666667</v>
      </c>
    </row>
    <row r="216" customFormat="false" ht="15" hidden="false" customHeight="false" outlineLevel="0" collapsed="false">
      <c r="B216" s="1" t="s">
        <v>18</v>
      </c>
      <c r="C216" s="1" t="n">
        <f aca="false">_xlfn.MAXIFS(E:E, B:B, "resnet", A:A, "WST1", D:D, "AVG")</f>
        <v>0.980433333333333</v>
      </c>
    </row>
    <row r="218" customFormat="false" ht="15" hidden="false" customHeight="false" outlineLevel="0" collapsed="false">
      <c r="B218" s="1" t="s">
        <v>19</v>
      </c>
      <c r="C218" s="1" t="n">
        <f aca="false">_xlfn.MAXIFS(E:E, B:B, "tinyCNN", A:A, "MEL", D:D, "AVG")</f>
        <v>0.877666666666667</v>
      </c>
    </row>
    <row r="219" customFormat="false" ht="15" hidden="false" customHeight="false" outlineLevel="0" collapsed="false">
      <c r="B219" s="1" t="s">
        <v>20</v>
      </c>
      <c r="C219" s="9" t="n">
        <f aca="false">_xlfn.MAXIFS(E:E, B:B, "tinyCNN", A:A, "WST1", D:D, "AVG")</f>
        <v>0.7858</v>
      </c>
    </row>
    <row r="221" customFormat="false" ht="15" hidden="false" customHeight="false" outlineLevel="0" collapsed="false">
      <c r="B221" s="1" t="s">
        <v>21</v>
      </c>
      <c r="C221" s="1" t="n">
        <f aca="false">_xlfn.MAXIFS(E:E, B:B, "mobilenetv3", A:A, "MEL", D:D, "AVG")</f>
        <v>0.9932</v>
      </c>
    </row>
    <row r="222" customFormat="false" ht="15" hidden="false" customHeight="false" outlineLevel="0" collapsed="false">
      <c r="B222" s="1" t="s">
        <v>22</v>
      </c>
      <c r="C222" s="1" t="n">
        <f aca="false">_xlfn.MAXIFS(E:E, B:B, "mobilenetv3", A:A, "WST1", D:D, "AVG")</f>
        <v>0.978166666666667</v>
      </c>
    </row>
    <row r="224" customFormat="false" ht="15" hidden="false" customHeight="false" outlineLevel="0" collapsed="false">
      <c r="B224" s="1" t="s">
        <v>23</v>
      </c>
      <c r="C224" s="1" t="n">
        <f aca="false">_xlfn.MAXIFS(E:E, B:B, "efficientnet_b0", A:A, "MEL", D:D, "AVG")</f>
        <v>0.982266666666667</v>
      </c>
    </row>
    <row r="225" customFormat="false" ht="15" hidden="false" customHeight="false" outlineLevel="0" collapsed="false">
      <c r="B225" s="1" t="s">
        <v>24</v>
      </c>
      <c r="C225" s="1" t="n">
        <f aca="false">_xlfn.MAXIFS(E:E, B:B, "efficientnet_b0", A:A, "WST1", D:D, "AVG")</f>
        <v>0.971333333333333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Evangelia</dc:creator>
  <dc:description/>
  <dc:language>en-US</dc:language>
  <cp:lastModifiedBy/>
  <dcterms:modified xsi:type="dcterms:W3CDTF">2026-04-09T12:46:57Z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